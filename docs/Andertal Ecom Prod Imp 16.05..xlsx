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1AF18C92-F454-45BB-B44C-03238C21E5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ducts" sheetId="1" r:id="rId1"/>
    <sheet name="📋 Guide" sheetId="2" state="veryHidden" r:id="rId2"/>
    <sheet name="Lists" sheetId="3" state="very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O9" i="1" l="1"/>
  <c r="FO10" i="1" s="1"/>
  <c r="FO8" i="1"/>
  <c r="FQ8" i="1" s="1"/>
  <c r="FQ9" i="1"/>
  <c r="FP9" i="1"/>
  <c r="FP8" i="1"/>
  <c r="FQ7" i="1"/>
  <c r="FP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57" i="1"/>
  <c r="DO56" i="1"/>
  <c r="DO55" i="1"/>
  <c r="DO54" i="1"/>
  <c r="DO53" i="1"/>
  <c r="DO52" i="1"/>
  <c r="DO51" i="1"/>
  <c r="DO50" i="1"/>
  <c r="DO49" i="1"/>
  <c r="DO48" i="1"/>
  <c r="DO47" i="1"/>
  <c r="DO46" i="1"/>
  <c r="DO45" i="1"/>
  <c r="DO44" i="1"/>
  <c r="DO43" i="1"/>
  <c r="DO42" i="1"/>
  <c r="DO41" i="1"/>
  <c r="DO40" i="1"/>
  <c r="DO39" i="1"/>
  <c r="DO38" i="1"/>
  <c r="DO37" i="1"/>
  <c r="DO36" i="1"/>
  <c r="DO35" i="1"/>
  <c r="DO34" i="1"/>
  <c r="DO33" i="1"/>
  <c r="DO32" i="1"/>
  <c r="DO31" i="1"/>
  <c r="DO30" i="1"/>
  <c r="DO29" i="1"/>
  <c r="DO28" i="1"/>
  <c r="DO27" i="1"/>
  <c r="DO26" i="1"/>
  <c r="DO25" i="1"/>
  <c r="DO24" i="1"/>
  <c r="DO23" i="1"/>
  <c r="DO22" i="1"/>
  <c r="DO21" i="1"/>
  <c r="DO20" i="1"/>
  <c r="DO19" i="1"/>
  <c r="DO18" i="1"/>
  <c r="DO17" i="1"/>
  <c r="DO16" i="1"/>
  <c r="DO15" i="1"/>
  <c r="DO14" i="1"/>
  <c r="DO13" i="1"/>
  <c r="DO12" i="1"/>
  <c r="DO11" i="1"/>
  <c r="DO10" i="1"/>
  <c r="DO9" i="1"/>
  <c r="DO8" i="1"/>
  <c r="DO7" i="1"/>
  <c r="DN57" i="1"/>
  <c r="DN56" i="1"/>
  <c r="DN55" i="1"/>
  <c r="DN54" i="1"/>
  <c r="DN53" i="1"/>
  <c r="DN52" i="1"/>
  <c r="DN51" i="1"/>
  <c r="DN50" i="1"/>
  <c r="DN49" i="1"/>
  <c r="DN48" i="1"/>
  <c r="DN47" i="1"/>
  <c r="DN46" i="1"/>
  <c r="DN45" i="1"/>
  <c r="DN44" i="1"/>
  <c r="DN43" i="1"/>
  <c r="DN42" i="1"/>
  <c r="DN41" i="1"/>
  <c r="DN40" i="1"/>
  <c r="DN39" i="1"/>
  <c r="DN38" i="1"/>
  <c r="DN37" i="1"/>
  <c r="DN36" i="1"/>
  <c r="DN35" i="1"/>
  <c r="DN34" i="1"/>
  <c r="DN33" i="1"/>
  <c r="DN32" i="1"/>
  <c r="DN31" i="1"/>
  <c r="DN30" i="1"/>
  <c r="DN29" i="1"/>
  <c r="DN28" i="1"/>
  <c r="DN27" i="1"/>
  <c r="DN26" i="1"/>
  <c r="DN25" i="1"/>
  <c r="DN24" i="1"/>
  <c r="DN23" i="1"/>
  <c r="DN22" i="1"/>
  <c r="DN21" i="1"/>
  <c r="DN20" i="1"/>
  <c r="DN19" i="1"/>
  <c r="DN18" i="1"/>
  <c r="DN17" i="1"/>
  <c r="DN16" i="1"/>
  <c r="DN15" i="1"/>
  <c r="DN14" i="1"/>
  <c r="DN13" i="1"/>
  <c r="DN12" i="1"/>
  <c r="DN11" i="1"/>
  <c r="DN10" i="1"/>
  <c r="DN9" i="1"/>
  <c r="DN8" i="1"/>
  <c r="DN7" i="1"/>
  <c r="DM57" i="1"/>
  <c r="DM56" i="1"/>
  <c r="DM55" i="1"/>
  <c r="DM54" i="1"/>
  <c r="DM53" i="1"/>
  <c r="DM52" i="1"/>
  <c r="DM51" i="1"/>
  <c r="DM50" i="1"/>
  <c r="DM49" i="1"/>
  <c r="DM48" i="1"/>
  <c r="DM47" i="1"/>
  <c r="DM46" i="1"/>
  <c r="DM45" i="1"/>
  <c r="DM44" i="1"/>
  <c r="DM43" i="1"/>
  <c r="DM42" i="1"/>
  <c r="DM41" i="1"/>
  <c r="DM40" i="1"/>
  <c r="DM39" i="1"/>
  <c r="DM38" i="1"/>
  <c r="DM37" i="1"/>
  <c r="DM36" i="1"/>
  <c r="DM35" i="1"/>
  <c r="DM34" i="1"/>
  <c r="DM33" i="1"/>
  <c r="DM32" i="1"/>
  <c r="DM31" i="1"/>
  <c r="DM30" i="1"/>
  <c r="DM29" i="1"/>
  <c r="DM28" i="1"/>
  <c r="DM27" i="1"/>
  <c r="DM26" i="1"/>
  <c r="DM25" i="1"/>
  <c r="DM24" i="1"/>
  <c r="DM23" i="1"/>
  <c r="DM22" i="1"/>
  <c r="DM21" i="1"/>
  <c r="DM20" i="1"/>
  <c r="DM19" i="1"/>
  <c r="DM18" i="1"/>
  <c r="DM17" i="1"/>
  <c r="DM16" i="1"/>
  <c r="DM15" i="1"/>
  <c r="DM14" i="1"/>
  <c r="DM13" i="1"/>
  <c r="DM12" i="1"/>
  <c r="DM11" i="1"/>
  <c r="DM10" i="1"/>
  <c r="DM9" i="1"/>
  <c r="DM8" i="1"/>
  <c r="DM7" i="1"/>
  <c r="DL57" i="1"/>
  <c r="DL56" i="1"/>
  <c r="DL55" i="1"/>
  <c r="DL54" i="1"/>
  <c r="DL53" i="1"/>
  <c r="DL52" i="1"/>
  <c r="DL51" i="1"/>
  <c r="DL50" i="1"/>
  <c r="DL49" i="1"/>
  <c r="DL48" i="1"/>
  <c r="DL47" i="1"/>
  <c r="DL46" i="1"/>
  <c r="DL45" i="1"/>
  <c r="DL44" i="1"/>
  <c r="DL43" i="1"/>
  <c r="DL42" i="1"/>
  <c r="DL41" i="1"/>
  <c r="DL40" i="1"/>
  <c r="DL39" i="1"/>
  <c r="DL38" i="1"/>
  <c r="DL37" i="1"/>
  <c r="DL36" i="1"/>
  <c r="DL35" i="1"/>
  <c r="DL34" i="1"/>
  <c r="DL33" i="1"/>
  <c r="DL32" i="1"/>
  <c r="DL31" i="1"/>
  <c r="DL30" i="1"/>
  <c r="DL29" i="1"/>
  <c r="DL28" i="1"/>
  <c r="DL27" i="1"/>
  <c r="DL26" i="1"/>
  <c r="DL25" i="1"/>
  <c r="DL24" i="1"/>
  <c r="DL23" i="1"/>
  <c r="DL22" i="1"/>
  <c r="DL21" i="1"/>
  <c r="DL20" i="1"/>
  <c r="DL19" i="1"/>
  <c r="DL18" i="1"/>
  <c r="DL17" i="1"/>
  <c r="DL16" i="1"/>
  <c r="DL15" i="1"/>
  <c r="DL14" i="1"/>
  <c r="DL13" i="1"/>
  <c r="DL12" i="1"/>
  <c r="DL11" i="1"/>
  <c r="DL10" i="1"/>
  <c r="DL9" i="1"/>
  <c r="DL8" i="1"/>
  <c r="DL7" i="1"/>
  <c r="DK57" i="1"/>
  <c r="DK56" i="1"/>
  <c r="DK55" i="1"/>
  <c r="DK54" i="1"/>
  <c r="DK53" i="1"/>
  <c r="DK52" i="1"/>
  <c r="DK51" i="1"/>
  <c r="DK50" i="1"/>
  <c r="DK49" i="1"/>
  <c r="DK48" i="1"/>
  <c r="DK47" i="1"/>
  <c r="DK46" i="1"/>
  <c r="DK45" i="1"/>
  <c r="DK44" i="1"/>
  <c r="DK43" i="1"/>
  <c r="DK42" i="1"/>
  <c r="DK41" i="1"/>
  <c r="DK40" i="1"/>
  <c r="DK39" i="1"/>
  <c r="DK38" i="1"/>
  <c r="DK37" i="1"/>
  <c r="DK36" i="1"/>
  <c r="DK35" i="1"/>
  <c r="DK34" i="1"/>
  <c r="DK33" i="1"/>
  <c r="DK32" i="1"/>
  <c r="DK31" i="1"/>
  <c r="DK30" i="1"/>
  <c r="DK29" i="1"/>
  <c r="DK28" i="1"/>
  <c r="DK27" i="1"/>
  <c r="DK26" i="1"/>
  <c r="DK25" i="1"/>
  <c r="DK24" i="1"/>
  <c r="DK23" i="1"/>
  <c r="DK22" i="1"/>
  <c r="DK21" i="1"/>
  <c r="DK20" i="1"/>
  <c r="DK19" i="1"/>
  <c r="DK18" i="1"/>
  <c r="DK17" i="1"/>
  <c r="DK16" i="1"/>
  <c r="DK15" i="1"/>
  <c r="DK14" i="1"/>
  <c r="DK13" i="1"/>
  <c r="DK12" i="1"/>
  <c r="DK11" i="1"/>
  <c r="DK10" i="1"/>
  <c r="DK9" i="1"/>
  <c r="DK8" i="1"/>
  <c r="DK7" i="1"/>
  <c r="DJ57" i="1"/>
  <c r="DJ56" i="1"/>
  <c r="DJ55" i="1"/>
  <c r="DJ54" i="1"/>
  <c r="DJ53" i="1"/>
  <c r="DJ52" i="1"/>
  <c r="DJ51" i="1"/>
  <c r="DJ50" i="1"/>
  <c r="DJ49" i="1"/>
  <c r="DJ48" i="1"/>
  <c r="DJ47" i="1"/>
  <c r="DJ46" i="1"/>
  <c r="DJ45" i="1"/>
  <c r="DJ44" i="1"/>
  <c r="DJ43" i="1"/>
  <c r="DJ42" i="1"/>
  <c r="DJ41" i="1"/>
  <c r="DJ40" i="1"/>
  <c r="DJ39" i="1"/>
  <c r="DJ38" i="1"/>
  <c r="DJ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I57" i="1"/>
  <c r="DI56" i="1"/>
  <c r="DI55" i="1"/>
  <c r="DI54" i="1"/>
  <c r="DI53" i="1"/>
  <c r="DI52" i="1"/>
  <c r="DI51" i="1"/>
  <c r="DI50" i="1"/>
  <c r="DI49" i="1"/>
  <c r="DI48" i="1"/>
  <c r="DI47" i="1"/>
  <c r="DI46" i="1"/>
  <c r="DI45" i="1"/>
  <c r="DI44" i="1"/>
  <c r="DI43" i="1"/>
  <c r="DI42" i="1"/>
  <c r="DI41" i="1"/>
  <c r="DI40" i="1"/>
  <c r="DI39" i="1"/>
  <c r="DI38" i="1"/>
  <c r="DI37" i="1"/>
  <c r="DI36" i="1"/>
  <c r="DI35" i="1"/>
  <c r="DI34" i="1"/>
  <c r="DI33" i="1"/>
  <c r="DI32" i="1"/>
  <c r="DI31" i="1"/>
  <c r="DI30" i="1"/>
  <c r="DI29" i="1"/>
  <c r="DI28" i="1"/>
  <c r="DI27" i="1"/>
  <c r="DI26" i="1"/>
  <c r="DI25" i="1"/>
  <c r="DI24" i="1"/>
  <c r="DI23" i="1"/>
  <c r="DI22" i="1"/>
  <c r="DI21" i="1"/>
  <c r="DI20" i="1"/>
  <c r="DI19" i="1"/>
  <c r="DI18" i="1"/>
  <c r="DI17" i="1"/>
  <c r="DI16" i="1"/>
  <c r="DI15" i="1"/>
  <c r="DI14" i="1"/>
  <c r="DI13" i="1"/>
  <c r="DI12" i="1"/>
  <c r="DI11" i="1"/>
  <c r="DI10" i="1"/>
  <c r="DI9" i="1"/>
  <c r="DI8" i="1"/>
  <c r="DI7" i="1"/>
  <c r="DH57" i="1"/>
  <c r="DH56" i="1"/>
  <c r="DH55" i="1"/>
  <c r="DH54" i="1"/>
  <c r="DH53" i="1"/>
  <c r="DH52" i="1"/>
  <c r="DH51" i="1"/>
  <c r="DH50" i="1"/>
  <c r="DH49" i="1"/>
  <c r="DH48" i="1"/>
  <c r="DH47" i="1"/>
  <c r="DH46" i="1"/>
  <c r="DH45" i="1"/>
  <c r="DH44" i="1"/>
  <c r="DH43" i="1"/>
  <c r="DH42" i="1"/>
  <c r="DH41" i="1"/>
  <c r="DH40" i="1"/>
  <c r="DH39" i="1"/>
  <c r="DH38" i="1"/>
  <c r="DH37" i="1"/>
  <c r="DH36" i="1"/>
  <c r="DH35" i="1"/>
  <c r="DH34" i="1"/>
  <c r="DH33" i="1"/>
  <c r="DH32" i="1"/>
  <c r="DH31" i="1"/>
  <c r="DH30" i="1"/>
  <c r="DH29" i="1"/>
  <c r="DH28" i="1"/>
  <c r="DH27" i="1"/>
  <c r="DH26" i="1"/>
  <c r="DH25" i="1"/>
  <c r="DH24" i="1"/>
  <c r="DH23" i="1"/>
  <c r="DH22" i="1"/>
  <c r="DH21" i="1"/>
  <c r="DH20" i="1"/>
  <c r="DH19" i="1"/>
  <c r="DH18" i="1"/>
  <c r="DH17" i="1"/>
  <c r="DH16" i="1"/>
  <c r="DH15" i="1"/>
  <c r="DH14" i="1"/>
  <c r="DH13" i="1"/>
  <c r="DH12" i="1"/>
  <c r="DH11" i="1"/>
  <c r="DH10" i="1"/>
  <c r="DH9" i="1"/>
  <c r="DH8" i="1"/>
  <c r="DH7" i="1"/>
  <c r="DG57" i="1"/>
  <c r="DG56" i="1"/>
  <c r="DG55" i="1"/>
  <c r="DG54" i="1"/>
  <c r="DG53" i="1"/>
  <c r="DG52" i="1"/>
  <c r="DG51" i="1"/>
  <c r="DG50" i="1"/>
  <c r="DG49" i="1"/>
  <c r="DG48" i="1"/>
  <c r="DG47" i="1"/>
  <c r="DG46" i="1"/>
  <c r="DG45" i="1"/>
  <c r="DG44" i="1"/>
  <c r="DG43" i="1"/>
  <c r="DG42" i="1"/>
  <c r="DG41" i="1"/>
  <c r="DG40" i="1"/>
  <c r="DG39" i="1"/>
  <c r="DG38" i="1"/>
  <c r="DG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AN8" i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6" i="1"/>
  <c r="AN27" i="1" s="1"/>
  <c r="AN28" i="1" s="1"/>
  <c r="AN29" i="1" s="1"/>
  <c r="AN30" i="1" s="1"/>
  <c r="AN31" i="1" s="1"/>
  <c r="AN32" i="1" s="1"/>
  <c r="AN33" i="1" s="1"/>
  <c r="AN34" i="1" s="1"/>
  <c r="AN35" i="1" s="1"/>
  <c r="AN36" i="1" s="1"/>
  <c r="AN37" i="1" s="1"/>
  <c r="AN38" i="1" s="1"/>
  <c r="AN39" i="1" s="1"/>
  <c r="AN40" i="1" s="1"/>
  <c r="AN42" i="1"/>
  <c r="AN43" i="1" s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N54" i="1" s="1"/>
  <c r="AN55" i="1" s="1"/>
  <c r="AN56" i="1" s="1"/>
  <c r="AN57" i="1" s="1"/>
  <c r="AN25" i="1"/>
  <c r="AM8" i="1"/>
  <c r="AM9" i="1" s="1"/>
  <c r="AM10" i="1" s="1"/>
  <c r="AM11" i="1" s="1"/>
  <c r="AM12" i="1" s="1"/>
  <c r="AM13" i="1" s="1"/>
  <c r="AM14" i="1" s="1"/>
  <c r="AM15" i="1" s="1"/>
  <c r="AM16" i="1" s="1"/>
  <c r="AM17" i="1" s="1"/>
  <c r="AM18" i="1" s="1"/>
  <c r="AM19" i="1" s="1"/>
  <c r="AM20" i="1" s="1"/>
  <c r="AM21" i="1" s="1"/>
  <c r="AM22" i="1" s="1"/>
  <c r="AM23" i="1" s="1"/>
  <c r="AM25" i="1"/>
  <c r="AM26" i="1" s="1"/>
  <c r="AM27" i="1" s="1"/>
  <c r="AM28" i="1" s="1"/>
  <c r="AM29" i="1" s="1"/>
  <c r="AM30" i="1" s="1"/>
  <c r="AM31" i="1" s="1"/>
  <c r="AM32" i="1" s="1"/>
  <c r="AM33" i="1" s="1"/>
  <c r="AM34" i="1" s="1"/>
  <c r="AM35" i="1" s="1"/>
  <c r="AM36" i="1" s="1"/>
  <c r="AM37" i="1" s="1"/>
  <c r="AM38" i="1" s="1"/>
  <c r="AM39" i="1" s="1"/>
  <c r="AM40" i="1" s="1"/>
  <c r="AM43" i="1"/>
  <c r="AM44" i="1" s="1"/>
  <c r="AM45" i="1" s="1"/>
  <c r="AM46" i="1" s="1"/>
  <c r="AM47" i="1" s="1"/>
  <c r="AM48" i="1" s="1"/>
  <c r="AM49" i="1" s="1"/>
  <c r="AM50" i="1" s="1"/>
  <c r="AM51" i="1" s="1"/>
  <c r="AM52" i="1" s="1"/>
  <c r="AM53" i="1" s="1"/>
  <c r="AM54" i="1" s="1"/>
  <c r="AM55" i="1" s="1"/>
  <c r="AM56" i="1" s="1"/>
  <c r="AM57" i="1" s="1"/>
  <c r="AM42" i="1"/>
  <c r="AK9" i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43" i="1"/>
  <c r="AK44" i="1" s="1"/>
  <c r="AK45" i="1" s="1"/>
  <c r="AK46" i="1" s="1"/>
  <c r="AK47" i="1" s="1"/>
  <c r="AK48" i="1" s="1"/>
  <c r="AK49" i="1" s="1"/>
  <c r="AK50" i="1" s="1"/>
  <c r="AK51" i="1" s="1"/>
  <c r="AK52" i="1" s="1"/>
  <c r="AK53" i="1" s="1"/>
  <c r="AK54" i="1" s="1"/>
  <c r="AK55" i="1" s="1"/>
  <c r="AK56" i="1" s="1"/>
  <c r="AK57" i="1" s="1"/>
  <c r="AK26" i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2" i="1"/>
  <c r="AK25" i="1"/>
  <c r="AK8" i="1"/>
  <c r="O9" i="1"/>
  <c r="P8" i="1"/>
  <c r="Q8" i="1" s="1"/>
  <c r="O8" i="1"/>
  <c r="Q7" i="1"/>
  <c r="P7" i="1"/>
  <c r="N43" i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8" i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6" i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25" i="1"/>
  <c r="N42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E42" i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F44" i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23" i="1"/>
  <c r="B25" i="1"/>
  <c r="F27" i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11" i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10" i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8" i="1"/>
  <c r="FP10" i="1" l="1"/>
  <c r="FQ10" i="1"/>
  <c r="FO11" i="1"/>
  <c r="O10" i="1"/>
  <c r="P9" i="1"/>
  <c r="Q9" i="1" s="1"/>
  <c r="FQ11" i="1" l="1"/>
  <c r="FP11" i="1"/>
  <c r="FO12" i="1"/>
  <c r="P10" i="1"/>
  <c r="Q10" i="1" s="1"/>
  <c r="O11" i="1"/>
  <c r="FO13" i="1" l="1"/>
  <c r="FQ12" i="1"/>
  <c r="FP12" i="1"/>
  <c r="O12" i="1"/>
  <c r="P11" i="1"/>
  <c r="Q11" i="1" s="1"/>
  <c r="FO14" i="1" l="1"/>
  <c r="FP13" i="1"/>
  <c r="FQ13" i="1"/>
  <c r="O13" i="1"/>
  <c r="P12" i="1"/>
  <c r="Q12" i="1" s="1"/>
  <c r="FO15" i="1" l="1"/>
  <c r="FP14" i="1"/>
  <c r="FQ14" i="1"/>
  <c r="P13" i="1"/>
  <c r="Q13" i="1" s="1"/>
  <c r="O14" i="1"/>
  <c r="FQ15" i="1" l="1"/>
  <c r="FO16" i="1"/>
  <c r="FP15" i="1"/>
  <c r="P14" i="1"/>
  <c r="Q14" i="1" s="1"/>
  <c r="O15" i="1"/>
  <c r="FP16" i="1" l="1"/>
  <c r="FQ16" i="1"/>
  <c r="FO17" i="1"/>
  <c r="P15" i="1"/>
  <c r="Q15" i="1" s="1"/>
  <c r="O16" i="1"/>
  <c r="FO18" i="1" l="1"/>
  <c r="FP17" i="1"/>
  <c r="FQ17" i="1"/>
  <c r="O17" i="1"/>
  <c r="P16" i="1"/>
  <c r="Q16" i="1" s="1"/>
  <c r="FP18" i="1" l="1"/>
  <c r="FO19" i="1"/>
  <c r="FQ18" i="1"/>
  <c r="O18" i="1"/>
  <c r="P17" i="1"/>
  <c r="Q17" i="1" s="1"/>
  <c r="FO20" i="1" l="1"/>
  <c r="FP19" i="1"/>
  <c r="FQ19" i="1"/>
  <c r="P18" i="1"/>
  <c r="Q18" i="1" s="1"/>
  <c r="O19" i="1"/>
  <c r="FO21" i="1" l="1"/>
  <c r="FQ20" i="1"/>
  <c r="FP20" i="1"/>
  <c r="O20" i="1"/>
  <c r="P19" i="1"/>
  <c r="Q19" i="1" s="1"/>
  <c r="FP21" i="1" l="1"/>
  <c r="FO22" i="1"/>
  <c r="FQ21" i="1"/>
  <c r="O21" i="1"/>
  <c r="P20" i="1"/>
  <c r="Q20" i="1" s="1"/>
  <c r="FQ22" i="1" l="1"/>
  <c r="FO23" i="1"/>
  <c r="FP22" i="1"/>
  <c r="P21" i="1"/>
  <c r="Q21" i="1" s="1"/>
  <c r="O22" i="1"/>
  <c r="FP23" i="1" l="1"/>
  <c r="FQ23" i="1"/>
  <c r="FO24" i="1"/>
  <c r="P22" i="1"/>
  <c r="Q22" i="1" s="1"/>
  <c r="O23" i="1"/>
  <c r="FO25" i="1" l="1"/>
  <c r="FQ24" i="1"/>
  <c r="FP24" i="1"/>
  <c r="P23" i="1"/>
  <c r="Q23" i="1" s="1"/>
  <c r="O24" i="1"/>
  <c r="FO26" i="1" l="1"/>
  <c r="FP25" i="1"/>
  <c r="FQ25" i="1"/>
  <c r="P24" i="1"/>
  <c r="Q24" i="1" s="1"/>
  <c r="O25" i="1"/>
  <c r="FO27" i="1" l="1"/>
  <c r="FQ26" i="1"/>
  <c r="FP26" i="1"/>
  <c r="O26" i="1"/>
  <c r="P25" i="1"/>
  <c r="Q25" i="1" s="1"/>
  <c r="FO28" i="1" l="1"/>
  <c r="FQ27" i="1"/>
  <c r="FP27" i="1"/>
  <c r="P26" i="1"/>
  <c r="Q26" i="1" s="1"/>
  <c r="O27" i="1"/>
  <c r="FO29" i="1" l="1"/>
  <c r="FQ28" i="1"/>
  <c r="FP28" i="1"/>
  <c r="P27" i="1"/>
  <c r="Q27" i="1" s="1"/>
  <c r="O28" i="1"/>
  <c r="FO30" i="1" l="1"/>
  <c r="FQ29" i="1"/>
  <c r="FP29" i="1"/>
  <c r="P28" i="1"/>
  <c r="Q28" i="1" s="1"/>
  <c r="O29" i="1"/>
  <c r="FO31" i="1" l="1"/>
  <c r="FQ30" i="1"/>
  <c r="FP30" i="1"/>
  <c r="O30" i="1"/>
  <c r="P29" i="1"/>
  <c r="Q29" i="1" s="1"/>
  <c r="FO32" i="1" l="1"/>
  <c r="FP31" i="1"/>
  <c r="FQ31" i="1"/>
  <c r="P30" i="1"/>
  <c r="Q30" i="1" s="1"/>
  <c r="O31" i="1"/>
  <c r="FO33" i="1" l="1"/>
  <c r="FQ32" i="1"/>
  <c r="FP32" i="1"/>
  <c r="P31" i="1"/>
  <c r="Q31" i="1" s="1"/>
  <c r="O32" i="1"/>
  <c r="FO34" i="1" l="1"/>
  <c r="FP33" i="1"/>
  <c r="FQ33" i="1"/>
  <c r="P32" i="1"/>
  <c r="Q32" i="1" s="1"/>
  <c r="O33" i="1"/>
  <c r="FO35" i="1" l="1"/>
  <c r="FP34" i="1"/>
  <c r="FQ34" i="1"/>
  <c r="P33" i="1"/>
  <c r="Q33" i="1" s="1"/>
  <c r="O34" i="1"/>
  <c r="FO36" i="1" l="1"/>
  <c r="FP35" i="1"/>
  <c r="FQ35" i="1"/>
  <c r="P34" i="1"/>
  <c r="Q34" i="1" s="1"/>
  <c r="O35" i="1"/>
  <c r="FO37" i="1" l="1"/>
  <c r="FP36" i="1"/>
  <c r="FQ36" i="1"/>
  <c r="P35" i="1"/>
  <c r="Q35" i="1" s="1"/>
  <c r="O36" i="1"/>
  <c r="FO38" i="1" l="1"/>
  <c r="FP37" i="1"/>
  <c r="FQ37" i="1"/>
  <c r="P36" i="1"/>
  <c r="Q36" i="1" s="1"/>
  <c r="O37" i="1"/>
  <c r="FO39" i="1" l="1"/>
  <c r="FQ38" i="1"/>
  <c r="FP38" i="1"/>
  <c r="P37" i="1"/>
  <c r="Q37" i="1" s="1"/>
  <c r="O38" i="1"/>
  <c r="FO40" i="1" l="1"/>
  <c r="FQ39" i="1"/>
  <c r="FP39" i="1"/>
  <c r="P38" i="1"/>
  <c r="Q38" i="1" s="1"/>
  <c r="O39" i="1"/>
  <c r="FO41" i="1" l="1"/>
  <c r="FP40" i="1"/>
  <c r="FQ40" i="1"/>
  <c r="P39" i="1"/>
  <c r="Q39" i="1" s="1"/>
  <c r="O40" i="1"/>
  <c r="FP41" i="1" l="1"/>
  <c r="FO42" i="1"/>
  <c r="FQ41" i="1"/>
  <c r="P40" i="1"/>
  <c r="Q40" i="1" s="1"/>
  <c r="O41" i="1"/>
  <c r="FQ42" i="1" l="1"/>
  <c r="FO43" i="1"/>
  <c r="FP42" i="1"/>
  <c r="P41" i="1"/>
  <c r="Q41" i="1" s="1"/>
  <c r="O42" i="1"/>
  <c r="FO44" i="1" l="1"/>
  <c r="FQ43" i="1"/>
  <c r="FP43" i="1"/>
  <c r="P42" i="1"/>
  <c r="Q42" i="1" s="1"/>
  <c r="O43" i="1"/>
  <c r="FO45" i="1" l="1"/>
  <c r="FQ44" i="1"/>
  <c r="FP44" i="1"/>
  <c r="P43" i="1"/>
  <c r="Q43" i="1" s="1"/>
  <c r="O44" i="1"/>
  <c r="FO46" i="1" l="1"/>
  <c r="FQ45" i="1"/>
  <c r="FP45" i="1"/>
  <c r="P44" i="1"/>
  <c r="Q44" i="1" s="1"/>
  <c r="O45" i="1"/>
  <c r="FO47" i="1" l="1"/>
  <c r="FQ46" i="1"/>
  <c r="FP46" i="1"/>
  <c r="P45" i="1"/>
  <c r="Q45" i="1" s="1"/>
  <c r="O46" i="1"/>
  <c r="FO48" i="1" l="1"/>
  <c r="FP47" i="1"/>
  <c r="FQ47" i="1"/>
  <c r="P46" i="1"/>
  <c r="Q46" i="1" s="1"/>
  <c r="O47" i="1"/>
  <c r="FO49" i="1" l="1"/>
  <c r="FP48" i="1"/>
  <c r="FQ48" i="1"/>
  <c r="P47" i="1"/>
  <c r="Q47" i="1" s="1"/>
  <c r="O48" i="1"/>
  <c r="FO50" i="1" l="1"/>
  <c r="FP49" i="1"/>
  <c r="FQ49" i="1"/>
  <c r="P48" i="1"/>
  <c r="Q48" i="1" s="1"/>
  <c r="O49" i="1"/>
  <c r="FQ50" i="1" l="1"/>
  <c r="FO51" i="1"/>
  <c r="FP50" i="1"/>
  <c r="P49" i="1"/>
  <c r="Q49" i="1" s="1"/>
  <c r="O50" i="1"/>
  <c r="FQ51" i="1" l="1"/>
  <c r="FP51" i="1"/>
  <c r="FO52" i="1"/>
  <c r="P50" i="1"/>
  <c r="Q50" i="1" s="1"/>
  <c r="O51" i="1"/>
  <c r="FO53" i="1" l="1"/>
  <c r="FP52" i="1"/>
  <c r="FQ52" i="1"/>
  <c r="P51" i="1"/>
  <c r="Q51" i="1" s="1"/>
  <c r="O52" i="1"/>
  <c r="FO54" i="1" l="1"/>
  <c r="FP53" i="1"/>
  <c r="FQ53" i="1"/>
  <c r="P52" i="1"/>
  <c r="Q52" i="1" s="1"/>
  <c r="O53" i="1"/>
  <c r="FO55" i="1" l="1"/>
  <c r="FP54" i="1"/>
  <c r="FQ54" i="1"/>
  <c r="P53" i="1"/>
  <c r="Q53" i="1" s="1"/>
  <c r="O54" i="1"/>
  <c r="FO56" i="1" l="1"/>
  <c r="FP55" i="1"/>
  <c r="FQ55" i="1"/>
  <c r="P54" i="1"/>
  <c r="Q54" i="1" s="1"/>
  <c r="O55" i="1"/>
  <c r="FO57" i="1" l="1"/>
  <c r="FQ56" i="1"/>
  <c r="FP56" i="1"/>
  <c r="P55" i="1"/>
  <c r="Q55" i="1" s="1"/>
  <c r="O56" i="1"/>
  <c r="FP57" i="1" l="1"/>
  <c r="FQ57" i="1"/>
  <c r="P56" i="1"/>
  <c r="Q56" i="1" s="1"/>
  <c r="O57" i="1"/>
  <c r="P57" i="1" s="1"/>
  <c r="Q5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Dropdown: parent | child</t>
        </r>
      </text>
    </comment>
    <comment ref="B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Unique product SKU (required)</t>
        </r>
      </text>
    </comment>
    <comment ref="C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Child only: parent row SKU</t>
        </r>
      </text>
    </comment>
    <comment ref="D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Dropdown: draft | published</t>
        </r>
      </text>
    </comment>
    <comment ref="E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EAN / GTIN</t>
        </r>
      </text>
    </comment>
    <comment ref="F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Inventory quantity</t>
        </r>
      </text>
    </comment>
    <comment ref="G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Dropdown: brand name from list</t>
        </r>
      </text>
    </comment>
    <comment ref="H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Product type</t>
        </r>
      </text>
    </comment>
    <comment ref="I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Dropdown: exact category slug from list</t>
        </r>
      </text>
    </comment>
    <comment ref="J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Dropdown: shipping group name</t>
        </r>
      </text>
    </comment>
    <comment ref="K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GPSR: manufacturer (required)</t>
        </r>
      </text>
    </comment>
    <comment ref="L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GPSR: manufacturer information (required)</t>
        </r>
      </text>
    </comment>
    <comment ref="M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GPSR: responsible person in EU (required)</t>
        </r>
      </text>
    </comment>
    <comment ref="N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Weight in grams</t>
        </r>
      </text>
    </comment>
    <comment ref="O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Length in cm</t>
        </r>
      </text>
    </comment>
    <comment ref="P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Width in cm</t>
        </r>
      </text>
    </comment>
    <comment ref="Q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Height in cm</t>
        </r>
      </text>
    </comment>
    <comment ref="R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Image URL 1 (main image)</t>
        </r>
      </text>
    </comment>
    <comment ref="S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Image URL 2</t>
        </r>
      </text>
    </comment>
    <comment ref="T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Image URL 3</t>
        </r>
      </text>
    </comment>
    <comment ref="U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Image URL 4</t>
        </r>
      </text>
    </comment>
    <comment ref="V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Image URL 5</t>
        </r>
      </text>
    </comment>
    <comment ref="W2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Swatch image URL</t>
        </r>
      </text>
    </comment>
    <comment ref="X2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Parent: variation 1 name (e.g. color)</t>
        </r>
      </text>
    </comment>
    <comment ref="Y2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Child: variation 1 value (e.g. red)</t>
        </r>
      </text>
    </comment>
    <comment ref="Z2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Parent: variation 2 name (e.g. size)</t>
        </r>
      </text>
    </comment>
    <comment ref="AA2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Child: variation 2 value (e.g. M)</t>
        </r>
      </text>
    </comment>
    <comment ref="AB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Parent: Variation 3 Name (optional)</t>
        </r>
      </text>
    </comment>
    <comment ref="AC2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Child: variation 3 value</t>
        </r>
      </text>
    </comment>
    <comment ref="AD2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Parent: Variation 4 Name (optional)</t>
        </r>
      </text>
    </comment>
    <comment ref="AE2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Child: variation 4 value</t>
        </r>
      </text>
    </comment>
    <comment ref="AF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Parent: Variation 5 Name (optional)</t>
        </r>
      </text>
    </comment>
    <comment ref="AG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Child: variation 5 value</t>
        </r>
      </text>
    </comment>
    <comment ref="AH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Parent: Variation 6 Name (optional)</t>
        </r>
      </text>
    </comment>
    <comment ref="AI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Child: variation 6 value</t>
        </r>
      </text>
    </comment>
    <comment ref="AJ2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Dropdown: kg | g | L | ml | piece</t>
        </r>
      </text>
    </comment>
    <comment ref="AK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e.g. 200</t>
        </r>
      </text>
    </comment>
    <comment ref="AL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Reference quantity for price per unit (g/ml =&gt; 1000, kg/l/piece =&gt; 1)</t>
        </r>
      </text>
    </comment>
    <comment ref="AM2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WEEE-Reg.-Nr. (Elektroaltgeräte-Registrierung)</t>
        </r>
      </text>
    </comment>
    <comment ref="AN2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EPREL-Reg.-Nr. (EU-Energielabel)</t>
        </r>
      </text>
    </comment>
    <comment ref="AO2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Datei 1 URL (PDF oder Bild)</t>
        </r>
      </text>
    </comment>
    <comment ref="AP2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Datei 1 Name (z.B. Produktdatenblatt.pdf)</t>
        </r>
      </text>
    </comment>
    <comment ref="AQ2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Datei 2 URL (PDF oder Bild)</t>
        </r>
      </text>
    </comment>
    <comment ref="AR2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Datei 2 Name (z.B. Produktdatenblatt.pdf)</t>
        </r>
      </text>
    </comment>
    <comment ref="AS2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Datei 3 URL (PDF oder Bild)</t>
        </r>
      </text>
    </comment>
    <comment ref="AT2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Datei 3 Name (z.B. Produktdatenblatt.pdf)</t>
        </r>
      </text>
    </comment>
    <comment ref="AU2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Datei 4 URL (PDF oder Bild)</t>
        </r>
      </text>
    </comment>
    <comment ref="AV2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Datei 4 Name (z.B. Produktdatenblatt.pdf)</t>
        </r>
      </text>
    </comment>
    <comment ref="AW2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Datei 5 URL (PDF oder Bild)</t>
        </r>
      </text>
    </comment>
    <comment ref="AX2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Datei 5 Name (z.B. Produktdatenblatt.pdf)</t>
        </r>
      </text>
    </comment>
    <comment ref="AY2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Metafield 1 - key</t>
        </r>
      </text>
    </comment>
    <comment ref="AZ2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Metafield 1 - value (text)</t>
        </r>
      </text>
    </comment>
    <comment ref="BA2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Metafield 2 - key</t>
        </r>
      </text>
    </comment>
    <comment ref="BB2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Metafield 2 - value (text)</t>
        </r>
      </text>
    </comment>
    <comment ref="BC2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Metafield 3 - key</t>
        </r>
      </text>
    </comment>
    <comment ref="BD2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Metafield 3 - value (text)</t>
        </r>
      </text>
    </comment>
    <comment ref="BE2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Metafield 4 - key</t>
        </r>
      </text>
    </comment>
    <comment ref="BF2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Metafield 4 - value (text)</t>
        </r>
      </text>
    </comment>
    <comment ref="BG2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Metafield 5 - key</t>
        </r>
      </text>
    </comment>
    <comment ref="BH2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Metafield 5 - value (text)</t>
        </r>
      </text>
    </comment>
    <comment ref="BI2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Metafield 6 - key</t>
        </r>
      </text>
    </comment>
    <comment ref="BJ2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Metafield 6 - value (text)</t>
        </r>
      </text>
    </comment>
    <comment ref="BK2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Metafield 7 - key</t>
        </r>
      </text>
    </comment>
    <comment ref="BL2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Metafield 7 - value (text)</t>
        </r>
      </text>
    </comment>
    <comment ref="BM2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Metafield 8 - key</t>
        </r>
      </text>
    </comment>
    <comment ref="BN2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Metafield 8 - value (text)</t>
        </r>
      </text>
    </comment>
    <comment ref="BO2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Metafield 9 - key</t>
        </r>
      </text>
    </comment>
    <comment ref="BP2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Metafield 9 - value (text)</t>
        </r>
      </text>
    </comment>
    <comment ref="BQ2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Metafield 10 - key</t>
        </r>
      </text>
    </comment>
    <comment ref="BR2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Metafield 10 - value (text)</t>
        </r>
      </text>
    </comment>
    <comment ref="BS2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Metafield 11 - key</t>
        </r>
      </text>
    </comment>
    <comment ref="BT2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Metafield 11 - value (text)</t>
        </r>
      </text>
    </comment>
    <comment ref="BU2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Metafield 12 - key</t>
        </r>
      </text>
    </comment>
    <comment ref="BV2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Metafield 12 - value (text)</t>
        </r>
      </text>
    </comment>
    <comment ref="BW2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Metafield 13 - key</t>
        </r>
      </text>
    </comment>
    <comment ref="BX2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Metafield 13 - value (text)</t>
        </r>
      </text>
    </comment>
    <comment ref="BY2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Metafield 14 - key</t>
        </r>
      </text>
    </comment>
    <comment ref="BZ2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Metafield 14 - value (text)</t>
        </r>
      </text>
    </comment>
    <comment ref="CA2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Metafield 15 - key</t>
        </r>
      </text>
    </comment>
    <comment ref="CB2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Metafield 15 - value (text)</t>
        </r>
      </text>
    </comment>
    <comment ref="CC2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Child variant metafield 1 - key</t>
        </r>
      </text>
    </comment>
    <comment ref="CD2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Child variant metafield 1 - value</t>
        </r>
      </text>
    </comment>
    <comment ref="CE2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Child variant metafield 2 - key</t>
        </r>
      </text>
    </comment>
    <comment ref="CF2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Child variant metafield 2 - value</t>
        </r>
      </text>
    </comment>
    <comment ref="CG2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Child variant metafield 3 - key</t>
        </r>
      </text>
    </comment>
    <comment ref="CH2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Child variant metafield 3 - value</t>
        </r>
      </text>
    </comment>
    <comment ref="CI2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Child variant metafield 4 - key</t>
        </r>
      </text>
    </comment>
    <comment ref="CJ2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Child variant metafield 4 - value</t>
        </r>
      </text>
    </comment>
    <comment ref="CK2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Child variant metafield 5 - key</t>
        </r>
      </text>
    </comment>
    <comment ref="CL2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Child variant metafield 5 - value</t>
        </r>
      </text>
    </comment>
    <comment ref="CM2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Child variant metafield 6 - key</t>
        </r>
      </text>
    </comment>
    <comment ref="CN2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Child variant metafield 6 - value</t>
        </r>
      </text>
    </comment>
    <comment ref="CO2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Child variant metafield 7 - key</t>
        </r>
      </text>
    </comment>
    <comment ref="CP2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Child variant metafield 7 - value</t>
        </r>
      </text>
    </comment>
    <comment ref="CQ2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Child variant metafield 8 - key</t>
        </r>
      </text>
    </comment>
    <comment ref="CR2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Child variant metafield 8 - value</t>
        </r>
      </text>
    </comment>
    <comment ref="CS2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Child variant metafield 9 - key</t>
        </r>
      </text>
    </comment>
    <comment ref="CT2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Child variant metafield 9 - value</t>
        </r>
      </text>
    </comment>
    <comment ref="CU2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Child variant metafield 10 - key</t>
        </r>
      </text>
    </comment>
    <comment ref="CV2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Child variant metafield 10 - value</t>
        </r>
      </text>
    </comment>
    <comment ref="CW2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Child variant metafield 11 - key</t>
        </r>
      </text>
    </comment>
    <comment ref="CX2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Child variant metafield 11 - value</t>
        </r>
      </text>
    </comment>
    <comment ref="CY2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Child variant metafield 12 - key</t>
        </r>
      </text>
    </comment>
    <comment ref="CZ2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Child variant metafield 12 - value</t>
        </r>
      </text>
    </comment>
    <comment ref="DA2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Child variant metafield 13 - key</t>
        </r>
      </text>
    </comment>
    <comment ref="DB2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Child variant metafield 13 - value</t>
        </r>
      </text>
    </comment>
    <comment ref="DC2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Child variant metafield 14 - key</t>
        </r>
      </text>
    </comment>
    <comment ref="DD2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Child variant metafield 14 - value</t>
        </r>
      </text>
    </comment>
    <comment ref="DE2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Child variant metafield 15 - key</t>
        </r>
      </text>
    </comment>
    <comment ref="DF2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Child variant metafield 15 - value</t>
        </r>
      </text>
    </comment>
    <comment ref="DG2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Titel (German)</t>
        </r>
      </text>
    </comment>
    <comment ref="DH2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Beschreibung HTML (German) — Parent/Child</t>
        </r>
      </text>
    </comment>
    <comment ref="DI2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DJ2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DK2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DL2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DM2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DN2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SEO Titel (German)</t>
        </r>
      </text>
    </comment>
    <comment ref="DO2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SEO Beschreibung (German)</t>
        </r>
      </text>
    </comment>
    <comment ref="DP2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SEO Keywords (German)</t>
        </r>
      </text>
    </comment>
    <comment ref="DQ2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Titel (English)</t>
        </r>
      </text>
    </comment>
    <comment ref="DR2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Beschreibung HTML (English) — Parent/Child</t>
        </r>
      </text>
    </comment>
    <comment ref="DS2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DT2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DU2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DV2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DW2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DX2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SEO Titel (English)</t>
        </r>
      </text>
    </comment>
    <comment ref="DY2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SEO Beschreibung (English)</t>
        </r>
      </text>
    </comment>
    <comment ref="DZ2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SEO Keywords (English)</t>
        </r>
      </text>
    </comment>
    <comment ref="EA2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Titel (Turkish)</t>
        </r>
      </text>
    </comment>
    <comment ref="EB2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Beschreibung HTML (Turkish) — Parent/Child</t>
        </r>
      </text>
    </comment>
    <comment ref="EC2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ED2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EE2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EF2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EG2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EH2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SEO Titel (Turkish)</t>
        </r>
      </text>
    </comment>
    <comment ref="EI2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SEO Beschreibung (Turkish)</t>
        </r>
      </text>
    </comment>
    <comment ref="EJ2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SEO Keywords (Turkish)</t>
        </r>
      </text>
    </comment>
    <comment ref="EK2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Titel (French)</t>
        </r>
      </text>
    </comment>
    <comment ref="EL2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Beschreibung HTML (French) — Parent/Child</t>
        </r>
      </text>
    </comment>
    <comment ref="EM2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EN2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EO2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EP2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EQ2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ER2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SEO Titel (French)</t>
        </r>
      </text>
    </comment>
    <comment ref="ES2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SEO Beschreibung (French)</t>
        </r>
      </text>
    </comment>
    <comment ref="ET2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SEO Keywords (French)</t>
        </r>
      </text>
    </comment>
    <comment ref="EU2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Titel (Italian)</t>
        </r>
      </text>
    </comment>
    <comment ref="EV2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Beschreibung HTML (Italian) — Parent/Child</t>
        </r>
      </text>
    </comment>
    <comment ref="EW2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EX2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EY2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EZ2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FA2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FB2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SEO Titel (Italian)</t>
        </r>
      </text>
    </comment>
    <comment ref="FC2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SEO Beschreibung (Italian)</t>
        </r>
      </text>
    </comment>
    <comment ref="FD2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SEO Keywords (Italian)</t>
        </r>
      </text>
    </comment>
    <comment ref="FE2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Titel (Spanish)</t>
        </r>
      </text>
    </comment>
    <comment ref="FF2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Beschreibung HTML (Spanish) — Parent/Child</t>
        </r>
      </text>
    </comment>
    <comment ref="FG2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FH2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FI2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FJ2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FK2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FL2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SEO Titel (Spanish)</t>
        </r>
      </text>
    </comment>
    <comment ref="FM2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SEO Beschreibung (Spanish)</t>
        </r>
      </text>
    </comment>
    <comment ref="FN2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SEO Keywords (Spanish)</t>
        </r>
      </text>
    </comment>
    <comment ref="FO2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Brutto (Germany (EUR))</t>
        </r>
      </text>
    </comment>
    <comment ref="FP2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FQ2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FR2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Brutto (France (EUR))</t>
        </r>
      </text>
    </comment>
    <comment ref="FS2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FT2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FU2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Brutto (Italy (EUR))</t>
        </r>
      </text>
    </comment>
    <comment ref="FV2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FW2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FX2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Brutto (Spain (EUR))</t>
        </r>
      </text>
    </comment>
    <comment ref="FY2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FZ2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GA2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Brutto (Turkey (TRY))</t>
        </r>
      </text>
    </comment>
    <comment ref="GB2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GC2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</commentList>
</comments>
</file>

<file path=xl/sharedStrings.xml><?xml version="1.0" encoding="utf-8"?>
<sst xmlns="http://schemas.openxmlformats.org/spreadsheetml/2006/main" count="1730" uniqueCount="614">
  <si>
    <t>Core</t>
  </si>
  <si>
    <t>Variations</t>
  </si>
  <si>
    <t>📁 Dateien (optional)</t>
  </si>
  <si>
    <t>Metafields (optional +)</t>
  </si>
  <si>
    <t>🌐 German</t>
  </si>
  <si>
    <t>🌐 English</t>
  </si>
  <si>
    <t>🌐 Turkish</t>
  </si>
  <si>
    <t>🌐 French</t>
  </si>
  <si>
    <t>🌐 Italian</t>
  </si>
  <si>
    <t>🌐 Spanish</t>
  </si>
  <si>
    <t>💰 Germany (EUR)</t>
  </si>
  <si>
    <t>💰 France (EUR)</t>
  </si>
  <si>
    <t>💰 Italy (EUR)</t>
  </si>
  <si>
    <t>💰 Spain (EUR)</t>
  </si>
  <si>
    <t>💰 Turkey (TRY)</t>
  </si>
  <si>
    <t>product_type</t>
  </si>
  <si>
    <t>sku</t>
  </si>
  <si>
    <t>parent_sku</t>
  </si>
  <si>
    <t>status</t>
  </si>
  <si>
    <t>ean</t>
  </si>
  <si>
    <t>inventory</t>
  </si>
  <si>
    <t>brand</t>
  </si>
  <si>
    <t>type</t>
  </si>
  <si>
    <t>category_slug</t>
  </si>
  <si>
    <t>shipping_group</t>
  </si>
  <si>
    <t>manufacturer</t>
  </si>
  <si>
    <t>manufacturer_information</t>
  </si>
  <si>
    <t>responsible_person_information</t>
  </si>
  <si>
    <t>weight_grams</t>
  </si>
  <si>
    <t>dim_length_cm</t>
  </si>
  <si>
    <t>dim_width_cm</t>
  </si>
  <si>
    <t>dim_height_cm</t>
  </si>
  <si>
    <t>image_url_1</t>
  </si>
  <si>
    <t>image_url_2</t>
  </si>
  <si>
    <t>image_url_3</t>
  </si>
  <si>
    <t>image_url_4</t>
  </si>
  <si>
    <t>image_url_5</t>
  </si>
  <si>
    <t>swatch_image_url</t>
  </si>
  <si>
    <t>variation1_name</t>
  </si>
  <si>
    <t>variation1_value</t>
  </si>
  <si>
    <t>variation2_name</t>
  </si>
  <si>
    <t>variation2_value</t>
  </si>
  <si>
    <t>variation3_name</t>
  </si>
  <si>
    <t>variation3_value</t>
  </si>
  <si>
    <t>variation4_name</t>
  </si>
  <si>
    <t>variation4_value</t>
  </si>
  <si>
    <t>variation5_name</t>
  </si>
  <si>
    <t>variation5_value</t>
  </si>
  <si>
    <t>variation6_name</t>
  </si>
  <si>
    <t>variation6_value</t>
  </si>
  <si>
    <t>unit_type</t>
  </si>
  <si>
    <t>unit_value</t>
  </si>
  <si>
    <t>per_unit</t>
  </si>
  <si>
    <t>weee_number</t>
  </si>
  <si>
    <t>eprel_number</t>
  </si>
  <si>
    <t>file_1_url</t>
  </si>
  <si>
    <t>file_1_name</t>
  </si>
  <si>
    <t>file_2_url</t>
  </si>
  <si>
    <t>file_2_name</t>
  </si>
  <si>
    <t>file_3_url</t>
  </si>
  <si>
    <t>file_3_name</t>
  </si>
  <si>
    <t>file_4_url</t>
  </si>
  <si>
    <t>file_4_name</t>
  </si>
  <si>
    <t>file_5_url</t>
  </si>
  <si>
    <t>file_5_name</t>
  </si>
  <si>
    <t>metafield_1_key</t>
  </si>
  <si>
    <t>metafield_1_value</t>
  </si>
  <si>
    <t>metafield_2_key</t>
  </si>
  <si>
    <t>metafield_2_value</t>
  </si>
  <si>
    <t>metafield_3_key</t>
  </si>
  <si>
    <t>metafield_3_value</t>
  </si>
  <si>
    <t>metafield_4_key</t>
  </si>
  <si>
    <t>metafield_4_value</t>
  </si>
  <si>
    <t>metafield_5_key</t>
  </si>
  <si>
    <t>metafield_5_value</t>
  </si>
  <si>
    <t>metafield_6_key</t>
  </si>
  <si>
    <t>metafield_6_value</t>
  </si>
  <si>
    <t>metafield_7_key</t>
  </si>
  <si>
    <t>metafield_7_value</t>
  </si>
  <si>
    <t>metafield_8_key</t>
  </si>
  <si>
    <t>metafield_8_value</t>
  </si>
  <si>
    <t>metafield_9_key</t>
  </si>
  <si>
    <t>metafield_9_value</t>
  </si>
  <si>
    <t>metafield_10_key</t>
  </si>
  <si>
    <t>metafield_10_value</t>
  </si>
  <si>
    <t>metafield_11_key</t>
  </si>
  <si>
    <t>metafield_11_value</t>
  </si>
  <si>
    <t>metafield_12_key</t>
  </si>
  <si>
    <t>metafield_12_value</t>
  </si>
  <si>
    <t>metafield_13_key</t>
  </si>
  <si>
    <t>metafield_13_value</t>
  </si>
  <si>
    <t>metafield_14_key</t>
  </si>
  <si>
    <t>metafield_14_value</t>
  </si>
  <si>
    <t>metafield_15_key</t>
  </si>
  <si>
    <t>metafield_15_value</t>
  </si>
  <si>
    <t>variant_metafield_1_key</t>
  </si>
  <si>
    <t>variant_metafield_1_value</t>
  </si>
  <si>
    <t>variant_metafield_2_key</t>
  </si>
  <si>
    <t>variant_metafield_2_value</t>
  </si>
  <si>
    <t>variant_metafield_3_key</t>
  </si>
  <si>
    <t>variant_metafield_3_value</t>
  </si>
  <si>
    <t>variant_metafield_4_key</t>
  </si>
  <si>
    <t>variant_metafield_4_value</t>
  </si>
  <si>
    <t>variant_metafield_5_key</t>
  </si>
  <si>
    <t>variant_metafield_5_value</t>
  </si>
  <si>
    <t>variant_metafield_6_key</t>
  </si>
  <si>
    <t>variant_metafield_6_value</t>
  </si>
  <si>
    <t>variant_metafield_7_key</t>
  </si>
  <si>
    <t>variant_metafield_7_value</t>
  </si>
  <si>
    <t>variant_metafield_8_key</t>
  </si>
  <si>
    <t>variant_metafield_8_value</t>
  </si>
  <si>
    <t>variant_metafield_9_key</t>
  </si>
  <si>
    <t>variant_metafield_9_value</t>
  </si>
  <si>
    <t>variant_metafield_10_key</t>
  </si>
  <si>
    <t>variant_metafield_10_value</t>
  </si>
  <si>
    <t>variant_metafield_11_key</t>
  </si>
  <si>
    <t>variant_metafield_11_value</t>
  </si>
  <si>
    <t>variant_metafield_12_key</t>
  </si>
  <si>
    <t>variant_metafield_12_value</t>
  </si>
  <si>
    <t>variant_metafield_13_key</t>
  </si>
  <si>
    <t>variant_metafield_13_value</t>
  </si>
  <si>
    <t>variant_metafield_14_key</t>
  </si>
  <si>
    <t>variant_metafield_14_value</t>
  </si>
  <si>
    <t>variant_metafield_15_key</t>
  </si>
  <si>
    <t>variant_metafield_15_value</t>
  </si>
  <si>
    <t>title_de</t>
  </si>
  <si>
    <t>description_de</t>
  </si>
  <si>
    <t>bullet1_de</t>
  </si>
  <si>
    <t>bullet2_de</t>
  </si>
  <si>
    <t>bullet3_de</t>
  </si>
  <si>
    <t>bullet4_de</t>
  </si>
  <si>
    <t>bullet5_de</t>
  </si>
  <si>
    <t>seo_title_de</t>
  </si>
  <si>
    <t>seo_description_de</t>
  </si>
  <si>
    <t>seo_keywords_de</t>
  </si>
  <si>
    <t>title_en</t>
  </si>
  <si>
    <t>description_en</t>
  </si>
  <si>
    <t>bullet1_en</t>
  </si>
  <si>
    <t>bullet2_en</t>
  </si>
  <si>
    <t>bullet3_en</t>
  </si>
  <si>
    <t>bullet4_en</t>
  </si>
  <si>
    <t>bullet5_en</t>
  </si>
  <si>
    <t>seo_title_en</t>
  </si>
  <si>
    <t>seo_description_en</t>
  </si>
  <si>
    <t>seo_keywords_en</t>
  </si>
  <si>
    <t>title_tr</t>
  </si>
  <si>
    <t>description_tr</t>
  </si>
  <si>
    <t>bullet1_tr</t>
  </si>
  <si>
    <t>bullet2_tr</t>
  </si>
  <si>
    <t>bullet3_tr</t>
  </si>
  <si>
    <t>bullet4_tr</t>
  </si>
  <si>
    <t>bullet5_tr</t>
  </si>
  <si>
    <t>seo_title_tr</t>
  </si>
  <si>
    <t>seo_description_tr</t>
  </si>
  <si>
    <t>seo_keywords_tr</t>
  </si>
  <si>
    <t>title_fr</t>
  </si>
  <si>
    <t>description_fr</t>
  </si>
  <si>
    <t>bullet1_fr</t>
  </si>
  <si>
    <t>bullet2_fr</t>
  </si>
  <si>
    <t>bullet3_fr</t>
  </si>
  <si>
    <t>bullet4_fr</t>
  </si>
  <si>
    <t>bullet5_fr</t>
  </si>
  <si>
    <t>seo_title_fr</t>
  </si>
  <si>
    <t>seo_description_fr</t>
  </si>
  <si>
    <t>seo_keywords_fr</t>
  </si>
  <si>
    <t>title_it</t>
  </si>
  <si>
    <t>description_it</t>
  </si>
  <si>
    <t>bullet1_it</t>
  </si>
  <si>
    <t>bullet2_it</t>
  </si>
  <si>
    <t>bullet3_it</t>
  </si>
  <si>
    <t>bullet4_it</t>
  </si>
  <si>
    <t>bullet5_it</t>
  </si>
  <si>
    <t>seo_title_it</t>
  </si>
  <si>
    <t>seo_description_it</t>
  </si>
  <si>
    <t>seo_keywords_it</t>
  </si>
  <si>
    <t>title_es</t>
  </si>
  <si>
    <t>description_es</t>
  </si>
  <si>
    <t>bullet1_es</t>
  </si>
  <si>
    <t>bullet2_es</t>
  </si>
  <si>
    <t>bullet3_es</t>
  </si>
  <si>
    <t>bullet4_es</t>
  </si>
  <si>
    <t>bullet5_es</t>
  </si>
  <si>
    <t>seo_title_es</t>
  </si>
  <si>
    <t>seo_description_es</t>
  </si>
  <si>
    <t>seo_keywords_es</t>
  </si>
  <si>
    <t>price_brutto_DE</t>
  </si>
  <si>
    <t>price_uvp_DE</t>
  </si>
  <si>
    <t>price_sale_DE</t>
  </si>
  <si>
    <t>price_brutto_FR</t>
  </si>
  <si>
    <t>price_uvp_FR</t>
  </si>
  <si>
    <t>price_sale_FR</t>
  </si>
  <si>
    <t>price_brutto_IT</t>
  </si>
  <si>
    <t>price_uvp_IT</t>
  </si>
  <si>
    <t>price_sale_IT</t>
  </si>
  <si>
    <t>price_brutto_ES</t>
  </si>
  <si>
    <t>price_uvp_ES</t>
  </si>
  <si>
    <t>price_sale_ES</t>
  </si>
  <si>
    <t>price_brutto_TR</t>
  </si>
  <si>
    <t>price_uvp_TR</t>
  </si>
  <si>
    <t>price_sale_TR</t>
  </si>
  <si>
    <t>Dropdown: parent | child</t>
  </si>
  <si>
    <t>Unique product SKU (required)</t>
  </si>
  <si>
    <t>Child only: parent row SKU</t>
  </si>
  <si>
    <t>Dropdown: draft | published</t>
  </si>
  <si>
    <t>EAN / GTIN</t>
  </si>
  <si>
    <t>Inventory quantity</t>
  </si>
  <si>
    <t>Dropdown: brand name from list</t>
  </si>
  <si>
    <t>Product type</t>
  </si>
  <si>
    <t>Dropdown: exact category slug from list</t>
  </si>
  <si>
    <t>Dropdown: shipping group name</t>
  </si>
  <si>
    <t>GPSR: manufacturer (required)</t>
  </si>
  <si>
    <t>GPSR: manufacturer information (required)</t>
  </si>
  <si>
    <t>GPSR: responsible person in EU (required)</t>
  </si>
  <si>
    <t>Weight in grams</t>
  </si>
  <si>
    <t>Length in cm</t>
  </si>
  <si>
    <t>Width in cm</t>
  </si>
  <si>
    <t>Height in cm</t>
  </si>
  <si>
    <t>Image URL 1 (main image)</t>
  </si>
  <si>
    <t>Image URL 2</t>
  </si>
  <si>
    <t>Image URL 3</t>
  </si>
  <si>
    <t>Image URL 4</t>
  </si>
  <si>
    <t>Image URL 5</t>
  </si>
  <si>
    <t>Swatch image URL</t>
  </si>
  <si>
    <t>Parent: variation 1 name (e.g. color)</t>
  </si>
  <si>
    <t>Child: variation 1 value (e.g. red)</t>
  </si>
  <si>
    <t>Parent: variation 2 name (e.g. size)</t>
  </si>
  <si>
    <t>Child: variation 2 value (e.g. M)</t>
  </si>
  <si>
    <t>Parent: Variation 3 Name (optional)</t>
  </si>
  <si>
    <t>Child: variation 3 value</t>
  </si>
  <si>
    <t>Parent: Variation 4 Name (optional)</t>
  </si>
  <si>
    <t>Child: variation 4 value</t>
  </si>
  <si>
    <t>Parent: Variation 5 Name (optional)</t>
  </si>
  <si>
    <t>Child: variation 5 value</t>
  </si>
  <si>
    <t>Parent: Variation 6 Name (optional)</t>
  </si>
  <si>
    <t>Child: variation 6 value</t>
  </si>
  <si>
    <t>Dropdown: kg | g | L | ml | piece</t>
  </si>
  <si>
    <t>e.g. 200</t>
  </si>
  <si>
    <t>Reference quantity for price per unit (g/ml =&gt; 1000, kg/l/piece =&gt; 1)</t>
  </si>
  <si>
    <t>WEEE-Reg.-Nr. (Elektroaltgeräte-Registrierung)</t>
  </si>
  <si>
    <t>EPREL-Reg.-Nr. (EU-Energielabel)</t>
  </si>
  <si>
    <t>Datei 1 URL (PDF oder Bild)</t>
  </si>
  <si>
    <t>Datei 1 Name (z.B. Produktdatenblatt.pdf)</t>
  </si>
  <si>
    <t>Datei 2 URL (PDF oder Bild)</t>
  </si>
  <si>
    <t>Datei 2 Name (z.B. Produktdatenblatt.pdf)</t>
  </si>
  <si>
    <t>Datei 3 URL (PDF oder Bild)</t>
  </si>
  <si>
    <t>Datei 3 Name (z.B. Produktdatenblatt.pdf)</t>
  </si>
  <si>
    <t>Datei 4 URL (PDF oder Bild)</t>
  </si>
  <si>
    <t>Datei 4 Name (z.B. Produktdatenblatt.pdf)</t>
  </si>
  <si>
    <t>Datei 5 URL (PDF oder Bild)</t>
  </si>
  <si>
    <t>Datei 5 Name (z.B. Produktdatenblatt.pdf)</t>
  </si>
  <si>
    <t>Metafield 1 - key</t>
  </si>
  <si>
    <t>Metafield 1 - value (text)</t>
  </si>
  <si>
    <t>Metafield 2 - key</t>
  </si>
  <si>
    <t>Metafield 2 - value (text)</t>
  </si>
  <si>
    <t>Metafield 3 - key</t>
  </si>
  <si>
    <t>Metafield 3 - value (text)</t>
  </si>
  <si>
    <t>Metafield 4 - key</t>
  </si>
  <si>
    <t>Metafield 4 - value (text)</t>
  </si>
  <si>
    <t>Metafield 5 - key</t>
  </si>
  <si>
    <t>Metafield 5 - value (text)</t>
  </si>
  <si>
    <t>Metafield 6 - key</t>
  </si>
  <si>
    <t>Metafield 6 - value (text)</t>
  </si>
  <si>
    <t>Metafield 7 - key</t>
  </si>
  <si>
    <t>Metafield 7 - value (text)</t>
  </si>
  <si>
    <t>Metafield 8 - key</t>
  </si>
  <si>
    <t>Metafield 8 - value (text)</t>
  </si>
  <si>
    <t>Metafield 9 - key</t>
  </si>
  <si>
    <t>Metafield 9 - value (text)</t>
  </si>
  <si>
    <t>Metafield 10 - key</t>
  </si>
  <si>
    <t>Metafield 10 - value (text)</t>
  </si>
  <si>
    <t>Metafield 11 - key</t>
  </si>
  <si>
    <t>Metafield 11 - value (text)</t>
  </si>
  <si>
    <t>Metafield 12 - key</t>
  </si>
  <si>
    <t>Metafield 12 - value (text)</t>
  </si>
  <si>
    <t>Metafield 13 - key</t>
  </si>
  <si>
    <t>Metafield 13 - value (text)</t>
  </si>
  <si>
    <t>Metafield 14 - key</t>
  </si>
  <si>
    <t>Metafield 14 - value (text)</t>
  </si>
  <si>
    <t>Metafield 15 - key</t>
  </si>
  <si>
    <t>Metafield 15 - value (text)</t>
  </si>
  <si>
    <t>Child variant metafield 1 - key</t>
  </si>
  <si>
    <t>Child variant metafield 1 - value</t>
  </si>
  <si>
    <t>Child variant metafield 2 - key</t>
  </si>
  <si>
    <t>Child variant metafield 2 - value</t>
  </si>
  <si>
    <t>Child variant metafield 3 - key</t>
  </si>
  <si>
    <t>Child variant metafield 3 - value</t>
  </si>
  <si>
    <t>Child variant metafield 4 - key</t>
  </si>
  <si>
    <t>Child variant metafield 4 - value</t>
  </si>
  <si>
    <t>Child variant metafield 5 - key</t>
  </si>
  <si>
    <t>Child variant metafield 5 - value</t>
  </si>
  <si>
    <t>Child variant metafield 6 - key</t>
  </si>
  <si>
    <t>Child variant metafield 6 - value</t>
  </si>
  <si>
    <t>Child variant metafield 7 - key</t>
  </si>
  <si>
    <t>Child variant metafield 7 - value</t>
  </si>
  <si>
    <t>Child variant metafield 8 - key</t>
  </si>
  <si>
    <t>Child variant metafield 8 - value</t>
  </si>
  <si>
    <t>Child variant metafield 9 - key</t>
  </si>
  <si>
    <t>Child variant metafield 9 - value</t>
  </si>
  <si>
    <t>Child variant metafield 10 - key</t>
  </si>
  <si>
    <t>Child variant metafield 10 - value</t>
  </si>
  <si>
    <t>Child variant metafield 11 - key</t>
  </si>
  <si>
    <t>Child variant metafield 11 - value</t>
  </si>
  <si>
    <t>Child variant metafield 12 - key</t>
  </si>
  <si>
    <t>Child variant metafield 12 - value</t>
  </si>
  <si>
    <t>Child variant metafield 13 - key</t>
  </si>
  <si>
    <t>Child variant metafield 13 - value</t>
  </si>
  <si>
    <t>Child variant metafield 14 - key</t>
  </si>
  <si>
    <t>Child variant metafield 14 - value</t>
  </si>
  <si>
    <t>Child variant metafield 15 - key</t>
  </si>
  <si>
    <t>Child variant metafield 15 - value</t>
  </si>
  <si>
    <t>Titel (German)</t>
  </si>
  <si>
    <t>Beschreibung HTML (German) — Parent/Child</t>
  </si>
  <si>
    <t>Stichpunkt 1</t>
  </si>
  <si>
    <t>Stichpunkt 2</t>
  </si>
  <si>
    <t>Stichpunkt 3</t>
  </si>
  <si>
    <t>Stichpunkt 4</t>
  </si>
  <si>
    <t>Stichpunkt 5</t>
  </si>
  <si>
    <t>SEO Titel (German)</t>
  </si>
  <si>
    <t>SEO Beschreibung (German)</t>
  </si>
  <si>
    <t>SEO Keywords (German)</t>
  </si>
  <si>
    <t>Titel (English)</t>
  </si>
  <si>
    <t>Beschreibung HTML (English) — Parent/Child</t>
  </si>
  <si>
    <t>SEO Titel (English)</t>
  </si>
  <si>
    <t>SEO Beschreibung (English)</t>
  </si>
  <si>
    <t>SEO Keywords (English)</t>
  </si>
  <si>
    <t>Titel (Turkish)</t>
  </si>
  <si>
    <t>Beschreibung HTML (Turkish) — Parent/Child</t>
  </si>
  <si>
    <t>SEO Titel (Turkish)</t>
  </si>
  <si>
    <t>SEO Beschreibung (Turkish)</t>
  </si>
  <si>
    <t>SEO Keywords (Turkish)</t>
  </si>
  <si>
    <t>Titel (French)</t>
  </si>
  <si>
    <t>Beschreibung HTML (French) — Parent/Child</t>
  </si>
  <si>
    <t>SEO Titel (French)</t>
  </si>
  <si>
    <t>SEO Beschreibung (French)</t>
  </si>
  <si>
    <t>SEO Keywords (French)</t>
  </si>
  <si>
    <t>Titel (Italian)</t>
  </si>
  <si>
    <t>Beschreibung HTML (Italian) — Parent/Child</t>
  </si>
  <si>
    <t>SEO Titel (Italian)</t>
  </si>
  <si>
    <t>SEO Beschreibung (Italian)</t>
  </si>
  <si>
    <t>SEO Keywords (Italian)</t>
  </si>
  <si>
    <t>Titel (Spanish)</t>
  </si>
  <si>
    <t>Beschreibung HTML (Spanish) — Parent/Child</t>
  </si>
  <si>
    <t>SEO Titel (Spanish)</t>
  </si>
  <si>
    <t>SEO Beschreibung (Spanish)</t>
  </si>
  <si>
    <t>SEO Keywords (Spanish)</t>
  </si>
  <si>
    <t>Brutto (Germany (EUR))</t>
  </si>
  <si>
    <t>UVP</t>
  </si>
  <si>
    <t>Aktionspreis</t>
  </si>
  <si>
    <t>Brutto (France (EUR))</t>
  </si>
  <si>
    <t>Brutto (Italy (EUR))</t>
  </si>
  <si>
    <t>Brutto (Spain (EUR))</t>
  </si>
  <si>
    <t>Brutto (Turkey (TRY))</t>
  </si>
  <si>
    <t>parent</t>
  </si>
  <si>
    <t>SHIRT-001</t>
  </si>
  <si>
    <t>published</t>
  </si>
  <si>
    <t>4012345678901</t>
  </si>
  <si>
    <t/>
  </si>
  <si>
    <t>Andertal</t>
  </si>
  <si>
    <t>T-Shirt</t>
  </si>
  <si>
    <t>appliances-laundry-appliances-washers-dryers</t>
  </si>
  <si>
    <t>ECOM DHL DE STANDART</t>
  </si>
  <si>
    <t>https://example.com/img/shirt-001.jpg</t>
  </si>
  <si>
    <t>Farbe</t>
  </si>
  <si>
    <t>Größe</t>
  </si>
  <si>
    <t>g</t>
  </si>
  <si>
    <t>T-Shirt Basic</t>
  </si>
  <si>
    <t>&lt;p&gt;Hochwertiges Basic T-Shirt.&lt;/p&gt;</t>
  </si>
  <si>
    <t>100% Baumwolle</t>
  </si>
  <si>
    <t>Maschinenwaschbar</t>
  </si>
  <si>
    <t>Regular Fit</t>
  </si>
  <si>
    <t>29,99</t>
  </si>
  <si>
    <t>39,99</t>
  </si>
  <si>
    <t>child</t>
  </si>
  <si>
    <t>SHIRT-001-ROT-S</t>
  </si>
  <si>
    <t>4012345678902</t>
  </si>
  <si>
    <t>https://example.com/img/shirt-001-rot.jpg</t>
  </si>
  <si>
    <t>https://example.com/img/swatch-rot.jpg</t>
  </si>
  <si>
    <t>Rot</t>
  </si>
  <si>
    <t>S</t>
  </si>
  <si>
    <t>SHIRT-001-ROT-M</t>
  </si>
  <si>
    <t>4012345678903</t>
  </si>
  <si>
    <t>M</t>
  </si>
  <si>
    <t>ANDERTAL — Import products via Excel</t>
  </si>
  <si>
    <t>This workbook has two sheets: "Products" (your data) and "Guide" (column help). URL handles are generated automatically from the title — there are no handle_* columns.</t>
  </si>
  <si>
    <t>Categories selected for this template (use these category_slug values exactly):</t>
  </si>
  <si>
    <t>slug	path</t>
  </si>
  <si>
    <t>appliances-laundry-appliances-washers-dryers	Appliances › Laundry Appliances › Washers &amp; Dryers</t>
  </si>
  <si>
    <t>arts-crafts-sewing-arts-crafts-sewing-storage-art-portfolios	Arts, Crafts &amp; Sewing › Arts, Crafts &amp; Sewing Storage › Art Portfolios</t>
  </si>
  <si>
    <t>automotive-automotive-interior-accessories-antitheft-products-antitheft-accessories	Automotive › Automotive Interior Accessories › Antitheft Products › Antitheft Accessories</t>
  </si>
  <si>
    <t>Brands ("brand" dropdown) — only these exact names are accepted:</t>
  </si>
  <si>
    <t>(4 Marken im Dropdown verfügbar)</t>
  </si>
  <si>
    <t>Shipping groups ("shipping_group" dropdown) — names as in Settings &gt; Shipping:</t>
  </si>
  <si>
    <t>• ECOM DHL DE STANDART</t>
  </si>
  <si>
    <t>Key columns (sheet "Products", from row 4)</t>
  </si>
  <si>
    <t>Rows 1–3: group header, column key, short hint — do not delete.</t>
  </si>
  <si>
    <t>Parent rows: shared copy, images, prices, category, brand, shipping group, optionN_names. Child rows: product_type = child, parent_sku, per-variant optionN_value, SKU, EAN, stock, optional images/swatch. Use title, description and bullet1..bullet5 as single shared content fields.</t>
  </si>
  <si>
    <t>Variants: the sample uses two options; you may use option3…option6 (add option7_name / option7_value columns in Excel if needed — import reads consecutive optionN_* columns).</t>
  </si>
  <si>
    <t>Metafields: pairs metafield_N_key / metafield_N_value (here N=1…15). Add columns for N=16,17,… as needed — all pairs are imported.</t>
  </si>
  <si>
    <t>Collections are not set via this Excel import — assign in the UI afterward if needed.</t>
  </si>
  <si>
    <t>Use a comma for decimals (e.g. 29,99). HTML is allowed in description_*.</t>
  </si>
  <si>
    <t>Empty rows are skipped. Rows with SKU starting with # are comments.</t>
  </si>
  <si>
    <t>Existing products: If the parent row SKU matches a product SKU in the system, that product is updated — only cells you fill in Excel overwrite data; empty cells keep the previous values.</t>
  </si>
  <si>
    <t>draft</t>
  </si>
  <si>
    <t>kg</t>
  </si>
  <si>
    <t>arts-crafts-sewing-arts-crafts-sewing-storage-art-portfolios</t>
  </si>
  <si>
    <t>Ecommezzo Brand</t>
  </si>
  <si>
    <t>L</t>
  </si>
  <si>
    <t>automotive-automotive-interior-accessories-antitheft-products-antitheft-accessories</t>
  </si>
  <si>
    <t>Marka3</t>
  </si>
  <si>
    <t>ml</t>
  </si>
  <si>
    <t>Yeni Marka</t>
  </si>
  <si>
    <t>piece</t>
  </si>
  <si>
    <t>XL</t>
  </si>
  <si>
    <t>Schwarz</t>
  </si>
  <si>
    <t>Weiß</t>
  </si>
  <si>
    <t>Blau</t>
  </si>
  <si>
    <t>Dryers</t>
  </si>
  <si>
    <t>Portfolios</t>
  </si>
  <si>
    <t>eco-parent2-160526</t>
  </si>
  <si>
    <t>eco-parent1-160526</t>
  </si>
  <si>
    <t>eco-parent3-160526</t>
  </si>
  <si>
    <t>Auto Accessories</t>
  </si>
  <si>
    <t>Ander</t>
  </si>
  <si>
    <t>Tal</t>
  </si>
  <si>
    <t>Ne</t>
  </si>
  <si>
    <t>Robert-Koch-Str. 17 41564 Kaarst DE</t>
  </si>
  <si>
    <t>https://m.media-amazon.com/images/I/61ha-m70stL._AC_SL1500_.jpg</t>
  </si>
  <si>
    <t>https://m.media-amazon.com/images/I/71RhUZVg35L._AC_SL1500_.jpg</t>
  </si>
  <si>
    <t>https://m.media-amazon.com/images/I/61A7tzdV0DL._AC_SL1500_.jpg</t>
  </si>
  <si>
    <t>https://m.media-amazon.com/images/I/61VGI0kjgmL._AC_SL1300_.jpg</t>
  </si>
  <si>
    <t>https://m.media-amazon.com/images/I/71iyE6LjU4L._AC_SL1500_.jpg</t>
  </si>
  <si>
    <t>https://m.media-amazon.com/images/I/61CoxY-2DXL._AC_SL1488_.jpg</t>
  </si>
  <si>
    <t>https://m.media-amazon.com/images/I/61k2ddY+EzL._AC_SL1400_.jpg</t>
  </si>
  <si>
    <t>https://m.media-amazon.com/images/I/71vGdCH0+JL._AC_SL1400_.jpg</t>
  </si>
  <si>
    <t>https://m.media-amazon.com/images/I/61JouEmJSTL._AC_SX679_.jpg</t>
  </si>
  <si>
    <t>https://m.media-amazon.com/images/I/718vb92VW2L._AC_SL1500_.jpg</t>
  </si>
  <si>
    <t>https://m.media-amazon.com/images/I/714kPMz6wKL._AC_SL1500_.jpg</t>
  </si>
  <si>
    <t>https://m.media-amazon.com/images/I/81DnEuFFj4L._AC_SL1500_.jpg</t>
  </si>
  <si>
    <t>https://m.media-amazon.com/images/I/61vpc8WIV9L._AC_SL1500_.jpg</t>
  </si>
  <si>
    <t>https://m.media-amazon.com/images/I/71C+4vgvpjL._AC_SL1500_.jpg</t>
  </si>
  <si>
    <t>https://m.media-amazon.com/images/I/715aqVfgIxL._AC_SL1500_.jpg</t>
  </si>
  <si>
    <t>https://m.media-amazon.com/images/I/61UiBjO0nKL._AC_SL1500_.jpg</t>
  </si>
  <si>
    <t>https://m.media-amazon.com/images/I/614n8mXp1QL._AC_SL1500_.jpg</t>
  </si>
  <si>
    <t>https://m.media-amazon.com/images/I/61zDx36PzyL._AC_SL1500_.jpg</t>
  </si>
  <si>
    <t>https://m.media-amazon.com/images/I/61-K1YlS9VL._AC_SL1500_.jpg</t>
  </si>
  <si>
    <t>https://m.media-amazon.com/images/I/51U4WXaTV4L._AC_SL1000_.jpg</t>
  </si>
  <si>
    <t>https://m.media-amazon.com/images/I/61s+w1RXGOL._AC_SL1500_.jpg</t>
  </si>
  <si>
    <t>https://m.media-amazon.com/images/I/71oIP3mwvwL._AC_SL1500_.jpg</t>
  </si>
  <si>
    <t>https://m.media-amazon.com/images/I/61FNaKlDkFL._AC_SL1458_.jpg</t>
  </si>
  <si>
    <t>https://m.media-amazon.com/images/I/913fKqqOZBL._AC_SL1500_.jpg</t>
  </si>
  <si>
    <t>https://api.andertal.com/uploads/media/Ecommezzo/1778939427570-Weiss.png</t>
  </si>
  <si>
    <t>https://api.andertal.com/uploads/media/Ecommezzo/1778939394413-Schwarz.png</t>
  </si>
  <si>
    <t>https://api.andertal.com/uploads/media/Ecommezzo/1778939394344-Rot.png</t>
  </si>
  <si>
    <t>https://api.andertal.com/uploads/media/Ecommezzo/1778939394334-Blau.png</t>
  </si>
  <si>
    <t>https://api.andertal.com/uploads/media/Ecommezzo/1778939675023-Zahnarztpraxis_Serhat_O__zfidan__2_.pdf</t>
  </si>
  <si>
    <t>File1 AAA</t>
  </si>
  <si>
    <t>File2 AAA</t>
  </si>
  <si>
    <t>https://api.andertal.com/uploads/media/Ecommezzo/1778939745365-ferocious-tiger-head-studio__1_.jpg</t>
  </si>
  <si>
    <t>Key1</t>
  </si>
  <si>
    <t>Key3</t>
  </si>
  <si>
    <t>Key1Value1</t>
  </si>
  <si>
    <t>Key2Value1</t>
  </si>
  <si>
    <t>Key3Value1</t>
  </si>
  <si>
    <t>Key1Value2</t>
  </si>
  <si>
    <t>Key2Value2</t>
  </si>
  <si>
    <t>Key3Value2</t>
  </si>
  <si>
    <t>Key1Value3</t>
  </si>
  <si>
    <t>Key2Value3</t>
  </si>
  <si>
    <t>Key3Value3</t>
  </si>
  <si>
    <t>Key1Value4</t>
  </si>
  <si>
    <t>Key2Value4</t>
  </si>
  <si>
    <t>Key3Value4</t>
  </si>
  <si>
    <t>Key1Value5</t>
  </si>
  <si>
    <t>Key2Value5</t>
  </si>
  <si>
    <t>Key3Value5</t>
  </si>
  <si>
    <t>Key1Value6</t>
  </si>
  <si>
    <t>Key2Value6</t>
  </si>
  <si>
    <t>Key3Value6</t>
  </si>
  <si>
    <t>Key1Value7</t>
  </si>
  <si>
    <t>Key2Value7</t>
  </si>
  <si>
    <t>Key3Value7</t>
  </si>
  <si>
    <t>Key1Value8</t>
  </si>
  <si>
    <t>Key2Value8</t>
  </si>
  <si>
    <t>Key3Value8</t>
  </si>
  <si>
    <t>Key1Value9</t>
  </si>
  <si>
    <t>Key2Value9</t>
  </si>
  <si>
    <t>Key3Value9</t>
  </si>
  <si>
    <t>Key1Value10</t>
  </si>
  <si>
    <t>Key2Value10</t>
  </si>
  <si>
    <t>Key3Value10</t>
  </si>
  <si>
    <t>Key1Value11</t>
  </si>
  <si>
    <t>Key2Value11</t>
  </si>
  <si>
    <t>Key3Value11</t>
  </si>
  <si>
    <t>Key1Value12</t>
  </si>
  <si>
    <t>Key2Value12</t>
  </si>
  <si>
    <t>Key3Value12</t>
  </si>
  <si>
    <t>Key1Value13</t>
  </si>
  <si>
    <t>Key2Value13</t>
  </si>
  <si>
    <t>Key3Value13</t>
  </si>
  <si>
    <t>Key1Value14</t>
  </si>
  <si>
    <t>Key2Value14</t>
  </si>
  <si>
    <t>Key3Value14</t>
  </si>
  <si>
    <t>Key1Value15</t>
  </si>
  <si>
    <t>Key2Value15</t>
  </si>
  <si>
    <t>Key3Value15</t>
  </si>
  <si>
    <t>Key1Value16</t>
  </si>
  <si>
    <t>Key2Value16</t>
  </si>
  <si>
    <t>Key3Value16</t>
  </si>
  <si>
    <t>Key1Value17</t>
  </si>
  <si>
    <t>Key2Value17</t>
  </si>
  <si>
    <t>Key3Value17</t>
  </si>
  <si>
    <t>Key1Value18</t>
  </si>
  <si>
    <t>Key2Value18</t>
  </si>
  <si>
    <t>Key3Value18</t>
  </si>
  <si>
    <t>Key1Value19</t>
  </si>
  <si>
    <t>Key2Value19</t>
  </si>
  <si>
    <t>Key3Value19</t>
  </si>
  <si>
    <t>Key1Value20</t>
  </si>
  <si>
    <t>Key2Value20</t>
  </si>
  <si>
    <t>Key3Value20</t>
  </si>
  <si>
    <t>Key1Value21</t>
  </si>
  <si>
    <t>Key2Value21</t>
  </si>
  <si>
    <t>Key3Value21</t>
  </si>
  <si>
    <t>Key1Value22</t>
  </si>
  <si>
    <t>Key2Value22</t>
  </si>
  <si>
    <t>Key3Value22</t>
  </si>
  <si>
    <t>Key1Value23</t>
  </si>
  <si>
    <t>Key2Value23</t>
  </si>
  <si>
    <t>Key3Value23</t>
  </si>
  <si>
    <t>Key1Value24</t>
  </si>
  <si>
    <t>Key2Value24</t>
  </si>
  <si>
    <t>Key3Value24</t>
  </si>
  <si>
    <t>Key1Value25</t>
  </si>
  <si>
    <t>Key2Value25</t>
  </si>
  <si>
    <t>Key3Value25</t>
  </si>
  <si>
    <t>Key1Value26</t>
  </si>
  <si>
    <t>Key2Value26</t>
  </si>
  <si>
    <t>Key3Value26</t>
  </si>
  <si>
    <t>Key1Value27</t>
  </si>
  <si>
    <t>Key2Value27</t>
  </si>
  <si>
    <t>Key3Value27</t>
  </si>
  <si>
    <t>Key1Value28</t>
  </si>
  <si>
    <t>Key2Value28</t>
  </si>
  <si>
    <t>Key3Value28</t>
  </si>
  <si>
    <t>Key1Value29</t>
  </si>
  <si>
    <t>Key2Value29</t>
  </si>
  <si>
    <t>Key3Value29</t>
  </si>
  <si>
    <t>Key1Value30</t>
  </si>
  <si>
    <t>Key2Value30</t>
  </si>
  <si>
    <t>Key3Value30</t>
  </si>
  <si>
    <t>Key1Value31</t>
  </si>
  <si>
    <t>Key2Value31</t>
  </si>
  <si>
    <t>Key3Value31</t>
  </si>
  <si>
    <t>Key1Value32</t>
  </si>
  <si>
    <t>Key2Value32</t>
  </si>
  <si>
    <t>Key3Value32</t>
  </si>
  <si>
    <t>Key1Value33</t>
  </si>
  <si>
    <t>Key2Value33</t>
  </si>
  <si>
    <t>Key3Value33</t>
  </si>
  <si>
    <t>Key1Value34</t>
  </si>
  <si>
    <t>Key2Value34</t>
  </si>
  <si>
    <t>Key3Value34</t>
  </si>
  <si>
    <t>Key1Value35</t>
  </si>
  <si>
    <t>Key2Value35</t>
  </si>
  <si>
    <t>Key3Value35</t>
  </si>
  <si>
    <t>Key1Value36</t>
  </si>
  <si>
    <t>Key2Value36</t>
  </si>
  <si>
    <t>Key3Value36</t>
  </si>
  <si>
    <t>Key1Value37</t>
  </si>
  <si>
    <t>Key2Value37</t>
  </si>
  <si>
    <t>Key3Value37</t>
  </si>
  <si>
    <t>Key1Value38</t>
  </si>
  <si>
    <t>Key2Value38</t>
  </si>
  <si>
    <t>Key3Value38</t>
  </si>
  <si>
    <t>Key1Value39</t>
  </si>
  <si>
    <t>Key2Value39</t>
  </si>
  <si>
    <t>Key3Value39</t>
  </si>
  <si>
    <t>Key1Value40</t>
  </si>
  <si>
    <t>Key2Value40</t>
  </si>
  <si>
    <t>Key3Value40</t>
  </si>
  <si>
    <t>Key1Value41</t>
  </si>
  <si>
    <t>Key2Value41</t>
  </si>
  <si>
    <t>Key3Value41</t>
  </si>
  <si>
    <t>Key1Value42</t>
  </si>
  <si>
    <t>Key2Value42</t>
  </si>
  <si>
    <t>Key3Value42</t>
  </si>
  <si>
    <t>Key1Value43</t>
  </si>
  <si>
    <t>Key2Value43</t>
  </si>
  <si>
    <t>Key3Value43</t>
  </si>
  <si>
    <t>Key1Value44</t>
  </si>
  <si>
    <t>Key2Value44</t>
  </si>
  <si>
    <t>Key3Value44</t>
  </si>
  <si>
    <t>Key1Value45</t>
  </si>
  <si>
    <t>Key2Value45</t>
  </si>
  <si>
    <t>Key3Value45</t>
  </si>
  <si>
    <t>Key1Value46</t>
  </si>
  <si>
    <t>Key2Value46</t>
  </si>
  <si>
    <t>Key3Value46</t>
  </si>
  <si>
    <t>Key1Value47</t>
  </si>
  <si>
    <t>Key2Value47</t>
  </si>
  <si>
    <t>Key3Value47</t>
  </si>
  <si>
    <t>Key1Value48</t>
  </si>
  <si>
    <t>Key2Value48</t>
  </si>
  <si>
    <t>Key3Value48</t>
  </si>
  <si>
    <t>Key1Value49</t>
  </si>
  <si>
    <t>Key2Value49</t>
  </si>
  <si>
    <t>Key3Value49</t>
  </si>
  <si>
    <t>Key1Value50</t>
  </si>
  <si>
    <t>Key2Value50</t>
  </si>
  <si>
    <t>Key3Value50</t>
  </si>
  <si>
    <t>Key1Value51</t>
  </si>
  <si>
    <t>Key2Value51</t>
  </si>
  <si>
    <t>Key3Value51</t>
  </si>
  <si>
    <t>Key2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</si>
</sst>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rgb="FF1E3A5F"/>
      <name val="Calibri"/>
    </font>
    <font>
      <b/>
      <sz val="10"/>
      <color rgb="FF1A5276"/>
      <name val="Calibri"/>
    </font>
    <font>
      <b/>
      <sz val="10"/>
      <color rgb="FF5F4B0B"/>
      <name val="Calibri"/>
    </font>
    <font>
      <b/>
      <sz val="10"/>
      <color rgb="FF1D6F42"/>
      <name val="Calibri"/>
    </font>
    <font>
      <b/>
      <sz val="10"/>
      <color rgb="FF7B3F00"/>
      <name val="Calibri"/>
    </font>
    <font>
      <b/>
      <sz val="9"/>
      <color rgb="FF1E3A5F"/>
      <name val="Calibri"/>
    </font>
    <font>
      <b/>
      <sz val="9"/>
      <color rgb="FF1A5276"/>
      <name val="Calibri"/>
    </font>
    <font>
      <b/>
      <sz val="9"/>
      <color rgb="FF5F4B0B"/>
      <name val="Calibri"/>
    </font>
    <font>
      <b/>
      <sz val="9"/>
      <color rgb="FF1D6F42"/>
      <name val="Calibri"/>
    </font>
    <font>
      <b/>
      <sz val="9"/>
      <color rgb="FF7B3F00"/>
      <name val="Calibri"/>
    </font>
    <font>
      <i/>
      <sz val="8"/>
      <color rgb="FF888888"/>
      <name val="Calibri"/>
    </font>
    <font>
      <sz val="9"/>
      <name val="Calibri"/>
    </font>
    <font>
      <b/>
      <sz val="11"/>
      <color rgb="FF1E3A5F"/>
      <name val="Calibri"/>
    </font>
    <font>
      <sz val="10"/>
      <name val="Calibri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CE5FF"/>
      </patternFill>
    </fill>
    <fill>
      <patternFill patternType="solid">
        <fgColor rgb="FFD6EAF8"/>
      </patternFill>
    </fill>
    <fill>
      <patternFill patternType="solid">
        <fgColor rgb="FFF9E79F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7F7F7"/>
      </patternFill>
    </fill>
    <fill>
      <patternFill patternType="solid">
        <fgColor rgb="FFFAFAFA"/>
      </patternFill>
    </fill>
    <fill>
      <patternFill patternType="solid">
        <fgColor rgb="FFEAF6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9">
    <xf numFmtId="0" fontId="0" fillId="0" borderId="0" xfId="0"/>
    <xf numFmtId="0" fontId="6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vertical="center"/>
    </xf>
    <xf numFmtId="0" fontId="0" fillId="8" borderId="1" xfId="0" applyFill="1" applyBorder="1"/>
    <xf numFmtId="0" fontId="12" fillId="9" borderId="1" xfId="0" applyFont="1" applyFill="1" applyBorder="1" applyAlignment="1">
      <alignment vertical="center"/>
    </xf>
    <xf numFmtId="0" fontId="0" fillId="9" borderId="1" xfId="0" applyFill="1" applyBorder="1"/>
    <xf numFmtId="0" fontId="13" fillId="0" borderId="0" xfId="0" applyFont="1"/>
    <xf numFmtId="0" fontId="14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5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.media-amazon.com/images/I/71vGdCH0+JL._AC_SL1400_.jpg" TargetMode="External"/><Relationship Id="rId117" Type="http://schemas.openxmlformats.org/officeDocument/2006/relationships/hyperlink" Target="https://api.andertal.com/uploads/media/Ecommezzo/1778939394413-Schwarz.png" TargetMode="External"/><Relationship Id="rId21" Type="http://schemas.openxmlformats.org/officeDocument/2006/relationships/hyperlink" Target="https://m.media-amazon.com/images/I/71iyE6LjU4L._AC_SL1500_.jpg" TargetMode="External"/><Relationship Id="rId42" Type="http://schemas.openxmlformats.org/officeDocument/2006/relationships/hyperlink" Target="https://m.media-amazon.com/images/I/81DnEuFFj4L._AC_SL1500_.jpg" TargetMode="External"/><Relationship Id="rId47" Type="http://schemas.openxmlformats.org/officeDocument/2006/relationships/hyperlink" Target="https://m.media-amazon.com/images/I/81DnEuFFj4L._AC_SL1500_.jpg" TargetMode="External"/><Relationship Id="rId63" Type="http://schemas.openxmlformats.org/officeDocument/2006/relationships/hyperlink" Target="https://m.media-amazon.com/images/I/61UiBjO0nKL._AC_SL1500_.jpg" TargetMode="External"/><Relationship Id="rId68" Type="http://schemas.openxmlformats.org/officeDocument/2006/relationships/hyperlink" Target="https://m.media-amazon.com/images/I/614n8mXp1QL._AC_SL1500_.jpg" TargetMode="External"/><Relationship Id="rId84" Type="http://schemas.openxmlformats.org/officeDocument/2006/relationships/hyperlink" Target="https://m.media-amazon.com/images/I/61s+w1RXGOL._AC_SL1500_.jpg" TargetMode="External"/><Relationship Id="rId89" Type="http://schemas.openxmlformats.org/officeDocument/2006/relationships/hyperlink" Target="https://m.media-amazon.com/images/I/61FNaKlDkFL._AC_SL1458_.jpg" TargetMode="External"/><Relationship Id="rId112" Type="http://schemas.openxmlformats.org/officeDocument/2006/relationships/hyperlink" Target="https://api.andertal.com/uploads/media/Ecommezzo/1778939394344-Rot.png" TargetMode="External"/><Relationship Id="rId16" Type="http://schemas.openxmlformats.org/officeDocument/2006/relationships/hyperlink" Target="https://m.media-amazon.com/images/I/61VGI0kjgmL._AC_SL1300_.jpg" TargetMode="External"/><Relationship Id="rId107" Type="http://schemas.openxmlformats.org/officeDocument/2006/relationships/hyperlink" Target="https://api.andertal.com/uploads/media/Ecommezzo/1778939394344-Rot.png" TargetMode="External"/><Relationship Id="rId11" Type="http://schemas.openxmlformats.org/officeDocument/2006/relationships/hyperlink" Target="https://m.media-amazon.com/images/I/61A7tzdV0DL._AC_SL1500_.jpg" TargetMode="External"/><Relationship Id="rId32" Type="http://schemas.openxmlformats.org/officeDocument/2006/relationships/hyperlink" Target="https://m.media-amazon.com/images/I/71vGdCH0+JL._AC_SL1400_.jpg" TargetMode="External"/><Relationship Id="rId37" Type="http://schemas.openxmlformats.org/officeDocument/2006/relationships/hyperlink" Target="https://m.media-amazon.com/images/I/61JouEmJSTL._AC_SX679_.jpg" TargetMode="External"/><Relationship Id="rId53" Type="http://schemas.openxmlformats.org/officeDocument/2006/relationships/hyperlink" Target="https://m.media-amazon.com/images/I/61vpc8WIV9L._AC_SL1500_.jpg" TargetMode="External"/><Relationship Id="rId58" Type="http://schemas.openxmlformats.org/officeDocument/2006/relationships/hyperlink" Target="https://m.media-amazon.com/images/I/61UiBjO0nKL._AC_SL1500_.jpg" TargetMode="External"/><Relationship Id="rId74" Type="http://schemas.openxmlformats.org/officeDocument/2006/relationships/hyperlink" Target="https://m.media-amazon.com/images/I/51U4WXaTV4L._AC_SL1000_.jpg" TargetMode="External"/><Relationship Id="rId79" Type="http://schemas.openxmlformats.org/officeDocument/2006/relationships/hyperlink" Target="https://m.media-amazon.com/images/I/51U4WXaTV4L._AC_SL1000_.jpg" TargetMode="External"/><Relationship Id="rId102" Type="http://schemas.openxmlformats.org/officeDocument/2006/relationships/hyperlink" Target="https://api.andertal.com/uploads/media/Ecommezzo/1778939427570-Weiss.png" TargetMode="External"/><Relationship Id="rId123" Type="http://schemas.openxmlformats.org/officeDocument/2006/relationships/hyperlink" Target="https://api.andertal.com/uploads/media/Ecommezzo/1778939675023-Zahnarztpraxis_Serhat_O__zfidan__2_.pdf" TargetMode="External"/><Relationship Id="rId5" Type="http://schemas.openxmlformats.org/officeDocument/2006/relationships/hyperlink" Target="https://m.media-amazon.com/images/I/61ha-m70stL._AC_SL1500_.jpg" TargetMode="External"/><Relationship Id="rId90" Type="http://schemas.openxmlformats.org/officeDocument/2006/relationships/hyperlink" Target="https://m.media-amazon.com/images/I/913fKqqOZBL._AC_SL1500_.jpg" TargetMode="External"/><Relationship Id="rId95" Type="http://schemas.openxmlformats.org/officeDocument/2006/relationships/hyperlink" Target="https://m.media-amazon.com/images/I/913fKqqOZBL._AC_SL1500_.jpg" TargetMode="External"/><Relationship Id="rId22" Type="http://schemas.openxmlformats.org/officeDocument/2006/relationships/hyperlink" Target="https://m.media-amazon.com/images/I/61CoxY-2DXL._AC_SL1488_.jpg" TargetMode="External"/><Relationship Id="rId27" Type="http://schemas.openxmlformats.org/officeDocument/2006/relationships/hyperlink" Target="https://m.media-amazon.com/images/I/61k2ddY+EzL._AC_SL1400_.jpg" TargetMode="External"/><Relationship Id="rId43" Type="http://schemas.openxmlformats.org/officeDocument/2006/relationships/hyperlink" Target="https://m.media-amazon.com/images/I/714kPMz6wKL._AC_SL1500_.jpg" TargetMode="External"/><Relationship Id="rId48" Type="http://schemas.openxmlformats.org/officeDocument/2006/relationships/hyperlink" Target="https://m.media-amazon.com/images/I/81DnEuFFj4L._AC_SL1500_.jpg" TargetMode="External"/><Relationship Id="rId64" Type="http://schemas.openxmlformats.org/officeDocument/2006/relationships/hyperlink" Target="https://m.media-amazon.com/images/I/61UiBjO0nKL._AC_SL1500_.jpg" TargetMode="External"/><Relationship Id="rId69" Type="http://schemas.openxmlformats.org/officeDocument/2006/relationships/hyperlink" Target="https://m.media-amazon.com/images/I/614n8mXp1QL._AC_SL1500_.jpg" TargetMode="External"/><Relationship Id="rId113" Type="http://schemas.openxmlformats.org/officeDocument/2006/relationships/hyperlink" Target="https://api.andertal.com/uploads/media/Ecommezzo/1778939427570-Weiss.png" TargetMode="External"/><Relationship Id="rId118" Type="http://schemas.openxmlformats.org/officeDocument/2006/relationships/hyperlink" Target="https://api.andertal.com/uploads/media/Ecommezzo/1778939427570-Weiss.png" TargetMode="External"/><Relationship Id="rId80" Type="http://schemas.openxmlformats.org/officeDocument/2006/relationships/hyperlink" Target="https://m.media-amazon.com/images/I/51U4WXaTV4L._AC_SL1000_.jpg" TargetMode="External"/><Relationship Id="rId85" Type="http://schemas.openxmlformats.org/officeDocument/2006/relationships/hyperlink" Target="https://m.media-amazon.com/images/I/61s+w1RXGOL._AC_SL1500_.jpg" TargetMode="External"/><Relationship Id="rId12" Type="http://schemas.openxmlformats.org/officeDocument/2006/relationships/hyperlink" Target="https://m.media-amazon.com/images/I/61A7tzdV0DL._AC_SL1500_.jpg" TargetMode="External"/><Relationship Id="rId17" Type="http://schemas.openxmlformats.org/officeDocument/2006/relationships/hyperlink" Target="https://m.media-amazon.com/images/I/71iyE6LjU4L._AC_SL1500_.jpg" TargetMode="External"/><Relationship Id="rId33" Type="http://schemas.openxmlformats.org/officeDocument/2006/relationships/hyperlink" Target="https://m.media-amazon.com/images/I/61JouEmJSTL._AC_SX679_.jpg" TargetMode="External"/><Relationship Id="rId38" Type="http://schemas.openxmlformats.org/officeDocument/2006/relationships/hyperlink" Target="https://m.media-amazon.com/images/I/718vb92VW2L._AC_SL1500_.jpg" TargetMode="External"/><Relationship Id="rId59" Type="http://schemas.openxmlformats.org/officeDocument/2006/relationships/hyperlink" Target="https://m.media-amazon.com/images/I/715aqVfgIxL._AC_SL1500_.jpg" TargetMode="External"/><Relationship Id="rId103" Type="http://schemas.openxmlformats.org/officeDocument/2006/relationships/hyperlink" Target="https://api.andertal.com/uploads/media/Ecommezzo/1778939394334-Blau.png" TargetMode="External"/><Relationship Id="rId108" Type="http://schemas.openxmlformats.org/officeDocument/2006/relationships/hyperlink" Target="https://api.andertal.com/uploads/media/Ecommezzo/1778939394334-Blau.png" TargetMode="External"/><Relationship Id="rId124" Type="http://schemas.openxmlformats.org/officeDocument/2006/relationships/hyperlink" Target="https://api.andertal.com/uploads/media/Ecommezzo/1778939745365-ferocious-tiger-head-studio__1_.jpg" TargetMode="External"/><Relationship Id="rId54" Type="http://schemas.openxmlformats.org/officeDocument/2006/relationships/hyperlink" Target="https://m.media-amazon.com/images/I/71C+4vgvpjL._AC_SL1500_.jpg" TargetMode="External"/><Relationship Id="rId70" Type="http://schemas.openxmlformats.org/officeDocument/2006/relationships/hyperlink" Target="https://m.media-amazon.com/images/I/61zDx36PzyL._AC_SL1500_.jpg" TargetMode="External"/><Relationship Id="rId75" Type="http://schemas.openxmlformats.org/officeDocument/2006/relationships/hyperlink" Target="https://m.media-amazon.com/images/I/61-K1YlS9VL._AC_SL1500_.jpg" TargetMode="External"/><Relationship Id="rId91" Type="http://schemas.openxmlformats.org/officeDocument/2006/relationships/hyperlink" Target="https://m.media-amazon.com/images/I/61FNaKlDkFL._AC_SL1458_.jpg" TargetMode="External"/><Relationship Id="rId96" Type="http://schemas.openxmlformats.org/officeDocument/2006/relationships/hyperlink" Target="https://m.media-amazon.com/images/I/913fKqqOZBL._AC_SL1500_.jpg" TargetMode="External"/><Relationship Id="rId1" Type="http://schemas.openxmlformats.org/officeDocument/2006/relationships/hyperlink" Target="https://m.media-amazon.com/images/I/61ha-m70stL._AC_SL1500_.jpg" TargetMode="External"/><Relationship Id="rId6" Type="http://schemas.openxmlformats.org/officeDocument/2006/relationships/hyperlink" Target="https://m.media-amazon.com/images/I/61ha-m70stL._AC_SL1500_.jpg" TargetMode="External"/><Relationship Id="rId23" Type="http://schemas.openxmlformats.org/officeDocument/2006/relationships/hyperlink" Target="https://m.media-amazon.com/images/I/61CoxY-2DXL._AC_SL1488_.jpg" TargetMode="External"/><Relationship Id="rId28" Type="http://schemas.openxmlformats.org/officeDocument/2006/relationships/hyperlink" Target="https://m.media-amazon.com/images/I/61k2ddY+EzL._AC_SL1400_.jpg" TargetMode="External"/><Relationship Id="rId49" Type="http://schemas.openxmlformats.org/officeDocument/2006/relationships/hyperlink" Target="https://m.media-amazon.com/images/I/61vpc8WIV9L._AC_SL1500_.jpg" TargetMode="External"/><Relationship Id="rId114" Type="http://schemas.openxmlformats.org/officeDocument/2006/relationships/hyperlink" Target="https://api.andertal.com/uploads/media/Ecommezzo/1778939394413-Schwarz.png" TargetMode="External"/><Relationship Id="rId119" Type="http://schemas.openxmlformats.org/officeDocument/2006/relationships/hyperlink" Target="https://api.andertal.com/uploads/media/Ecommezzo/1778939394334-Blau.png" TargetMode="External"/><Relationship Id="rId44" Type="http://schemas.openxmlformats.org/officeDocument/2006/relationships/hyperlink" Target="https://m.media-amazon.com/images/I/714kPMz6wKL._AC_SL1500_.jpg" TargetMode="External"/><Relationship Id="rId60" Type="http://schemas.openxmlformats.org/officeDocument/2006/relationships/hyperlink" Target="https://m.media-amazon.com/images/I/715aqVfgIxL._AC_SL1500_.jpg" TargetMode="External"/><Relationship Id="rId65" Type="http://schemas.openxmlformats.org/officeDocument/2006/relationships/hyperlink" Target="https://m.media-amazon.com/images/I/614n8mXp1QL._AC_SL1500_.jpg" TargetMode="External"/><Relationship Id="rId81" Type="http://schemas.openxmlformats.org/officeDocument/2006/relationships/hyperlink" Target="https://m.media-amazon.com/images/I/61s+w1RXGOL._AC_SL1500_.jpg" TargetMode="External"/><Relationship Id="rId86" Type="http://schemas.openxmlformats.org/officeDocument/2006/relationships/hyperlink" Target="https://m.media-amazon.com/images/I/71oIP3mwvwL._AC_SL1500_.jpg" TargetMode="External"/><Relationship Id="rId13" Type="http://schemas.openxmlformats.org/officeDocument/2006/relationships/hyperlink" Target="https://m.media-amazon.com/images/I/61A7tzdV0DL._AC_SL1500_.jpg" TargetMode="External"/><Relationship Id="rId18" Type="http://schemas.openxmlformats.org/officeDocument/2006/relationships/hyperlink" Target="https://m.media-amazon.com/images/I/61CoxY-2DXL._AC_SL1488_.jpg" TargetMode="External"/><Relationship Id="rId39" Type="http://schemas.openxmlformats.org/officeDocument/2006/relationships/hyperlink" Target="https://m.media-amazon.com/images/I/718vb92VW2L._AC_SL1500_.jpg" TargetMode="External"/><Relationship Id="rId109" Type="http://schemas.openxmlformats.org/officeDocument/2006/relationships/hyperlink" Target="https://api.andertal.com/uploads/media/Ecommezzo/1778939394413-Schwarz.png" TargetMode="External"/><Relationship Id="rId34" Type="http://schemas.openxmlformats.org/officeDocument/2006/relationships/hyperlink" Target="https://m.media-amazon.com/images/I/718vb92VW2L._AC_SL1500_.jpg" TargetMode="External"/><Relationship Id="rId50" Type="http://schemas.openxmlformats.org/officeDocument/2006/relationships/hyperlink" Target="https://m.media-amazon.com/images/I/71C+4vgvpjL._AC_SL1500_.jpg" TargetMode="External"/><Relationship Id="rId55" Type="http://schemas.openxmlformats.org/officeDocument/2006/relationships/hyperlink" Target="https://m.media-amazon.com/images/I/71C+4vgvpjL._AC_SL1500_.jpg" TargetMode="External"/><Relationship Id="rId76" Type="http://schemas.openxmlformats.org/officeDocument/2006/relationships/hyperlink" Target="https://m.media-amazon.com/images/I/61-K1YlS9VL._AC_SL1500_.jpg" TargetMode="External"/><Relationship Id="rId97" Type="http://schemas.openxmlformats.org/officeDocument/2006/relationships/hyperlink" Target="https://api.andertal.com/uploads/media/Ecommezzo/1778939427570-Weiss.png" TargetMode="External"/><Relationship Id="rId104" Type="http://schemas.openxmlformats.org/officeDocument/2006/relationships/hyperlink" Target="https://api.andertal.com/uploads/media/Ecommezzo/1778939394344-Rot.png" TargetMode="External"/><Relationship Id="rId120" Type="http://schemas.openxmlformats.org/officeDocument/2006/relationships/hyperlink" Target="https://api.andertal.com/uploads/media/Ecommezzo/1778939394344-Rot.png" TargetMode="External"/><Relationship Id="rId125" Type="http://schemas.openxmlformats.org/officeDocument/2006/relationships/hyperlink" Target="https://api.andertal.com/uploads/media/Ecommezzo/1778939745365-ferocious-tiger-head-studio__1_.jpg" TargetMode="External"/><Relationship Id="rId7" Type="http://schemas.openxmlformats.org/officeDocument/2006/relationships/hyperlink" Target="https://m.media-amazon.com/images/I/61ha-m70stL._AC_SL1500_.jpg" TargetMode="External"/><Relationship Id="rId71" Type="http://schemas.openxmlformats.org/officeDocument/2006/relationships/hyperlink" Target="https://m.media-amazon.com/images/I/61zDx36PzyL._AC_SL1500_.jpg" TargetMode="External"/><Relationship Id="rId92" Type="http://schemas.openxmlformats.org/officeDocument/2006/relationships/hyperlink" Target="https://m.media-amazon.com/images/I/61FNaKlDkFL._AC_SL1458_.jpg" TargetMode="External"/><Relationship Id="rId2" Type="http://schemas.openxmlformats.org/officeDocument/2006/relationships/hyperlink" Target="https://m.media-amazon.com/images/I/61A7tzdV0DL._AC_SL1500_.jpg" TargetMode="External"/><Relationship Id="rId29" Type="http://schemas.openxmlformats.org/officeDocument/2006/relationships/hyperlink" Target="https://m.media-amazon.com/images/I/61k2ddY+EzL._AC_SL1400_.jpg" TargetMode="External"/><Relationship Id="rId24" Type="http://schemas.openxmlformats.org/officeDocument/2006/relationships/hyperlink" Target="https://m.media-amazon.com/images/I/61CoxY-2DXL._AC_SL1488_.jpg" TargetMode="External"/><Relationship Id="rId40" Type="http://schemas.openxmlformats.org/officeDocument/2006/relationships/hyperlink" Target="https://m.media-amazon.com/images/I/718vb92VW2L._AC_SL1500_.jpg" TargetMode="External"/><Relationship Id="rId45" Type="http://schemas.openxmlformats.org/officeDocument/2006/relationships/hyperlink" Target="https://m.media-amazon.com/images/I/714kPMz6wKL._AC_SL1500_.jpg" TargetMode="External"/><Relationship Id="rId66" Type="http://schemas.openxmlformats.org/officeDocument/2006/relationships/hyperlink" Target="https://m.media-amazon.com/images/I/61zDx36PzyL._AC_SL1500_.jpg" TargetMode="External"/><Relationship Id="rId87" Type="http://schemas.openxmlformats.org/officeDocument/2006/relationships/hyperlink" Target="https://m.media-amazon.com/images/I/71oIP3mwvwL._AC_SL1500_.jpg" TargetMode="External"/><Relationship Id="rId110" Type="http://schemas.openxmlformats.org/officeDocument/2006/relationships/hyperlink" Target="https://api.andertal.com/uploads/media/Ecommezzo/1778939427570-Weiss.png" TargetMode="External"/><Relationship Id="rId115" Type="http://schemas.openxmlformats.org/officeDocument/2006/relationships/hyperlink" Target="https://api.andertal.com/uploads/media/Ecommezzo/1778939394344-Rot.png" TargetMode="External"/><Relationship Id="rId61" Type="http://schemas.openxmlformats.org/officeDocument/2006/relationships/hyperlink" Target="https://m.media-amazon.com/images/I/715aqVfgIxL._AC_SL1500_.jpg" TargetMode="External"/><Relationship Id="rId82" Type="http://schemas.openxmlformats.org/officeDocument/2006/relationships/hyperlink" Target="https://m.media-amazon.com/images/I/71oIP3mwvwL._AC_SL1500_.jpg" TargetMode="External"/><Relationship Id="rId19" Type="http://schemas.openxmlformats.org/officeDocument/2006/relationships/hyperlink" Target="https://m.media-amazon.com/images/I/71iyE6LjU4L._AC_SL1500_.jpg" TargetMode="External"/><Relationship Id="rId14" Type="http://schemas.openxmlformats.org/officeDocument/2006/relationships/hyperlink" Target="https://m.media-amazon.com/images/I/61VGI0kjgmL._AC_SL1300_.jpg" TargetMode="External"/><Relationship Id="rId30" Type="http://schemas.openxmlformats.org/officeDocument/2006/relationships/hyperlink" Target="https://m.media-amazon.com/images/I/71vGdCH0+JL._AC_SL1400_.jpg" TargetMode="External"/><Relationship Id="rId35" Type="http://schemas.openxmlformats.org/officeDocument/2006/relationships/hyperlink" Target="https://m.media-amazon.com/images/I/61JouEmJSTL._AC_SX679_.jpg" TargetMode="External"/><Relationship Id="rId56" Type="http://schemas.openxmlformats.org/officeDocument/2006/relationships/hyperlink" Target="https://m.media-amazon.com/images/I/71C+4vgvpjL._AC_SL1500_.jpg" TargetMode="External"/><Relationship Id="rId77" Type="http://schemas.openxmlformats.org/officeDocument/2006/relationships/hyperlink" Target="https://m.media-amazon.com/images/I/61-K1YlS9VL._AC_SL1500_.jpg" TargetMode="External"/><Relationship Id="rId100" Type="http://schemas.openxmlformats.org/officeDocument/2006/relationships/hyperlink" Target="https://api.andertal.com/uploads/media/Ecommezzo/1778939394334-Blau.png" TargetMode="External"/><Relationship Id="rId105" Type="http://schemas.openxmlformats.org/officeDocument/2006/relationships/hyperlink" Target="https://api.andertal.com/uploads/media/Ecommezzo/1778939427570-Weiss.png" TargetMode="External"/><Relationship Id="rId126" Type="http://schemas.openxmlformats.org/officeDocument/2006/relationships/vmlDrawing" Target="../drawings/vmlDrawing1.vml"/><Relationship Id="rId8" Type="http://schemas.openxmlformats.org/officeDocument/2006/relationships/hyperlink" Target="https://m.media-amazon.com/images/I/71RhUZVg35L._AC_SL1500_.jpg" TargetMode="External"/><Relationship Id="rId51" Type="http://schemas.openxmlformats.org/officeDocument/2006/relationships/hyperlink" Target="https://m.media-amazon.com/images/I/61vpc8WIV9L._AC_SL1500_.jpg" TargetMode="External"/><Relationship Id="rId72" Type="http://schemas.openxmlformats.org/officeDocument/2006/relationships/hyperlink" Target="https://m.media-amazon.com/images/I/61zDx36PzyL._AC_SL1500_.jpg" TargetMode="External"/><Relationship Id="rId93" Type="http://schemas.openxmlformats.org/officeDocument/2006/relationships/hyperlink" Target="https://m.media-amazon.com/images/I/61FNaKlDkFL._AC_SL1458_.jpg" TargetMode="External"/><Relationship Id="rId98" Type="http://schemas.openxmlformats.org/officeDocument/2006/relationships/hyperlink" Target="https://api.andertal.com/uploads/media/Ecommezzo/1778939394413-Schwarz.png" TargetMode="External"/><Relationship Id="rId121" Type="http://schemas.openxmlformats.org/officeDocument/2006/relationships/hyperlink" Target="https://api.andertal.com/uploads/media/Ecommezzo/1778939675023-Zahnarztpraxis_Serhat_O__zfidan__2_.pdf" TargetMode="External"/><Relationship Id="rId3" Type="http://schemas.openxmlformats.org/officeDocument/2006/relationships/hyperlink" Target="https://m.media-amazon.com/images/I/71RhUZVg35L._AC_SL1500_.jpg" TargetMode="External"/><Relationship Id="rId25" Type="http://schemas.openxmlformats.org/officeDocument/2006/relationships/hyperlink" Target="https://m.media-amazon.com/images/I/61k2ddY+EzL._AC_SL1400_.jpg" TargetMode="External"/><Relationship Id="rId46" Type="http://schemas.openxmlformats.org/officeDocument/2006/relationships/hyperlink" Target="https://m.media-amazon.com/images/I/81DnEuFFj4L._AC_SL1500_.jpg" TargetMode="External"/><Relationship Id="rId67" Type="http://schemas.openxmlformats.org/officeDocument/2006/relationships/hyperlink" Target="https://m.media-amazon.com/images/I/614n8mXp1QL._AC_SL1500_.jpg" TargetMode="External"/><Relationship Id="rId116" Type="http://schemas.openxmlformats.org/officeDocument/2006/relationships/hyperlink" Target="https://api.andertal.com/uploads/media/Ecommezzo/1778939394334-Blau.png" TargetMode="External"/><Relationship Id="rId20" Type="http://schemas.openxmlformats.org/officeDocument/2006/relationships/hyperlink" Target="https://m.media-amazon.com/images/I/71iyE6LjU4L._AC_SL1500_.jpg" TargetMode="External"/><Relationship Id="rId41" Type="http://schemas.openxmlformats.org/officeDocument/2006/relationships/hyperlink" Target="https://m.media-amazon.com/images/I/714kPMz6wKL._AC_SL1500_.jpg" TargetMode="External"/><Relationship Id="rId62" Type="http://schemas.openxmlformats.org/officeDocument/2006/relationships/hyperlink" Target="https://m.media-amazon.com/images/I/61UiBjO0nKL._AC_SL1500_.jpg" TargetMode="External"/><Relationship Id="rId83" Type="http://schemas.openxmlformats.org/officeDocument/2006/relationships/hyperlink" Target="https://m.media-amazon.com/images/I/61s+w1RXGOL._AC_SL1500_.jpg" TargetMode="External"/><Relationship Id="rId88" Type="http://schemas.openxmlformats.org/officeDocument/2006/relationships/hyperlink" Target="https://m.media-amazon.com/images/I/71oIP3mwvwL._AC_SL1500_.jpg" TargetMode="External"/><Relationship Id="rId111" Type="http://schemas.openxmlformats.org/officeDocument/2006/relationships/hyperlink" Target="https://api.andertal.com/uploads/media/Ecommezzo/1778939394334-Blau.png" TargetMode="External"/><Relationship Id="rId15" Type="http://schemas.openxmlformats.org/officeDocument/2006/relationships/hyperlink" Target="https://m.media-amazon.com/images/I/61VGI0kjgmL._AC_SL1300_.jpg" TargetMode="External"/><Relationship Id="rId36" Type="http://schemas.openxmlformats.org/officeDocument/2006/relationships/hyperlink" Target="https://m.media-amazon.com/images/I/61JouEmJSTL._AC_SX679_.jpg" TargetMode="External"/><Relationship Id="rId57" Type="http://schemas.openxmlformats.org/officeDocument/2006/relationships/hyperlink" Target="https://m.media-amazon.com/images/I/715aqVfgIxL._AC_SL1500_.jpg" TargetMode="External"/><Relationship Id="rId106" Type="http://schemas.openxmlformats.org/officeDocument/2006/relationships/hyperlink" Target="https://api.andertal.com/uploads/media/Ecommezzo/1778939394413-Schwarz.png" TargetMode="External"/><Relationship Id="rId127" Type="http://schemas.openxmlformats.org/officeDocument/2006/relationships/comments" Target="../comments1.xml"/><Relationship Id="rId10" Type="http://schemas.openxmlformats.org/officeDocument/2006/relationships/hyperlink" Target="https://m.media-amazon.com/images/I/71RhUZVg35L._AC_SL1500_.jpg" TargetMode="External"/><Relationship Id="rId31" Type="http://schemas.openxmlformats.org/officeDocument/2006/relationships/hyperlink" Target="https://m.media-amazon.com/images/I/71vGdCH0+JL._AC_SL1400_.jpg" TargetMode="External"/><Relationship Id="rId52" Type="http://schemas.openxmlformats.org/officeDocument/2006/relationships/hyperlink" Target="https://m.media-amazon.com/images/I/61vpc8WIV9L._AC_SL1500_.jpg" TargetMode="External"/><Relationship Id="rId73" Type="http://schemas.openxmlformats.org/officeDocument/2006/relationships/hyperlink" Target="https://m.media-amazon.com/images/I/61-K1YlS9VL._AC_SL1500_.jpg" TargetMode="External"/><Relationship Id="rId78" Type="http://schemas.openxmlformats.org/officeDocument/2006/relationships/hyperlink" Target="https://m.media-amazon.com/images/I/51U4WXaTV4L._AC_SL1000_.jpg" TargetMode="External"/><Relationship Id="rId94" Type="http://schemas.openxmlformats.org/officeDocument/2006/relationships/hyperlink" Target="https://m.media-amazon.com/images/I/913fKqqOZBL._AC_SL1500_.jpg" TargetMode="External"/><Relationship Id="rId99" Type="http://schemas.openxmlformats.org/officeDocument/2006/relationships/hyperlink" Target="https://api.andertal.com/uploads/media/Ecommezzo/1778939394344-Rot.png" TargetMode="External"/><Relationship Id="rId101" Type="http://schemas.openxmlformats.org/officeDocument/2006/relationships/hyperlink" Target="https://api.andertal.com/uploads/media/Ecommezzo/1778939394413-Schwarz.png" TargetMode="External"/><Relationship Id="rId122" Type="http://schemas.openxmlformats.org/officeDocument/2006/relationships/hyperlink" Target="https://api.andertal.com/uploads/media/Ecommezzo/1778939675023-Zahnarztpraxis_Serhat_O__zfidan__2_.pdf" TargetMode="External"/><Relationship Id="rId4" Type="http://schemas.openxmlformats.org/officeDocument/2006/relationships/hyperlink" Target="https://m.media-amazon.com/images/I/61VGI0kjgmL._AC_SL1300_.jpg" TargetMode="External"/><Relationship Id="rId9" Type="http://schemas.openxmlformats.org/officeDocument/2006/relationships/hyperlink" Target="https://m.media-amazon.com/images/I/71RhUZVg35L._AC_SL1500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57"/>
  <sheetViews>
    <sheetView tabSelected="1" workbookViewId="0">
      <pane xSplit="2" ySplit="1" topLeftCell="EF2" activePane="bottomRight" state="frozen"/>
      <selection pane="topRight" activeCell="C1" sqref="C1"/>
      <selection pane="bottomLeft" activeCell="A2" sqref="A2"/>
      <selection pane="bottomRight" activeCell="EF3" sqref="EF3"/>
    </sheetView>
  </sheetViews>
  <sheetFormatPr baseColWidth="10" defaultColWidth="16" defaultRowHeight="14.5" x14ac:dyDescent="0.35"/>
  <cols>
    <col min="1" max="1" width="14" customWidth="1"/>
    <col min="2" max="2" width="25.7265625" bestFit="1" customWidth="1"/>
    <col min="3" max="3" width="20" customWidth="1"/>
    <col min="4" max="4" width="13" customWidth="1"/>
    <col min="5" max="5" width="18" customWidth="1"/>
    <col min="6" max="6" width="12" customWidth="1"/>
    <col min="7" max="7" width="18" customWidth="1"/>
    <col min="8" max="8" width="16" customWidth="1"/>
    <col min="9" max="10" width="22" customWidth="1"/>
    <col min="11" max="11" width="26" customWidth="1"/>
    <col min="12" max="13" width="42" customWidth="1"/>
    <col min="14" max="15" width="14" customWidth="1"/>
    <col min="16" max="17" width="13" customWidth="1"/>
    <col min="18" max="22" width="40" customWidth="1"/>
    <col min="23" max="23" width="28" customWidth="1"/>
    <col min="24" max="35" width="18" customWidth="1"/>
    <col min="36" max="38" width="12" customWidth="1"/>
    <col min="39" max="40" width="22" customWidth="1"/>
    <col min="41" max="41" width="44" customWidth="1"/>
    <col min="42" max="42" width="30" customWidth="1"/>
    <col min="43" max="43" width="44" customWidth="1"/>
    <col min="44" max="44" width="30" customWidth="1"/>
    <col min="45" max="45" width="44" customWidth="1"/>
    <col min="46" max="46" width="30" customWidth="1"/>
    <col min="47" max="47" width="44" customWidth="1"/>
    <col min="48" max="48" width="30" customWidth="1"/>
    <col min="49" max="49" width="44" customWidth="1"/>
    <col min="50" max="50" width="30" customWidth="1"/>
    <col min="51" max="51" width="22" customWidth="1"/>
    <col min="52" max="52" width="34" customWidth="1"/>
    <col min="53" max="53" width="22" customWidth="1"/>
    <col min="54" max="54" width="34" customWidth="1"/>
    <col min="55" max="55" width="22" customWidth="1"/>
    <col min="56" max="56" width="34" customWidth="1"/>
    <col min="57" max="57" width="22" customWidth="1"/>
    <col min="58" max="58" width="34" customWidth="1"/>
    <col min="59" max="59" width="22" customWidth="1"/>
    <col min="60" max="60" width="34" customWidth="1"/>
    <col min="61" max="61" width="22" customWidth="1"/>
    <col min="62" max="62" width="34" customWidth="1"/>
    <col min="63" max="63" width="22" customWidth="1"/>
    <col min="64" max="64" width="34" customWidth="1"/>
    <col min="65" max="65" width="22" customWidth="1"/>
    <col min="66" max="66" width="34" customWidth="1"/>
    <col min="67" max="67" width="22" customWidth="1"/>
    <col min="68" max="68" width="34" customWidth="1"/>
    <col min="69" max="69" width="22" customWidth="1"/>
    <col min="70" max="70" width="34" customWidth="1"/>
    <col min="71" max="71" width="22" customWidth="1"/>
    <col min="72" max="72" width="34" customWidth="1"/>
    <col min="73" max="73" width="22" customWidth="1"/>
    <col min="74" max="74" width="34" customWidth="1"/>
    <col min="75" max="75" width="22" customWidth="1"/>
    <col min="76" max="76" width="34" customWidth="1"/>
    <col min="77" max="77" width="22" customWidth="1"/>
    <col min="78" max="78" width="34" customWidth="1"/>
    <col min="79" max="79" width="22" customWidth="1"/>
    <col min="80" max="80" width="34" customWidth="1"/>
    <col min="81" max="81" width="24" customWidth="1"/>
    <col min="82" max="82" width="34" customWidth="1"/>
    <col min="83" max="83" width="24" customWidth="1"/>
    <col min="84" max="84" width="34" customWidth="1"/>
    <col min="85" max="85" width="24" customWidth="1"/>
    <col min="86" max="86" width="34" customWidth="1"/>
    <col min="87" max="87" width="24" customWidth="1"/>
    <col min="88" max="88" width="34" customWidth="1"/>
    <col min="89" max="89" width="24" customWidth="1"/>
    <col min="90" max="90" width="34" customWidth="1"/>
    <col min="91" max="91" width="24" customWidth="1"/>
    <col min="92" max="92" width="34" customWidth="1"/>
    <col min="93" max="93" width="24" customWidth="1"/>
    <col min="94" max="94" width="34" customWidth="1"/>
    <col min="95" max="95" width="24" customWidth="1"/>
    <col min="96" max="96" width="34" customWidth="1"/>
    <col min="97" max="97" width="24" customWidth="1"/>
    <col min="98" max="98" width="34" customWidth="1"/>
    <col min="99" max="99" width="24" customWidth="1"/>
    <col min="100" max="100" width="34" customWidth="1"/>
    <col min="101" max="101" width="24" customWidth="1"/>
    <col min="102" max="102" width="34" customWidth="1"/>
    <col min="103" max="103" width="24" customWidth="1"/>
    <col min="104" max="104" width="34" customWidth="1"/>
    <col min="105" max="105" width="24" customWidth="1"/>
    <col min="106" max="106" width="34" customWidth="1"/>
    <col min="107" max="107" width="24" customWidth="1"/>
    <col min="108" max="108" width="34" customWidth="1"/>
    <col min="109" max="109" width="24" customWidth="1"/>
    <col min="110" max="110" width="34" customWidth="1"/>
    <col min="111" max="111" width="36" customWidth="1"/>
    <col min="112" max="112" width="50" customWidth="1"/>
    <col min="113" max="118" width="36" customWidth="1"/>
    <col min="119" max="119" width="50" customWidth="1"/>
    <col min="120" max="120" width="40" customWidth="1"/>
    <col min="121" max="121" width="36" customWidth="1"/>
    <col min="122" max="122" width="50" customWidth="1"/>
    <col min="123" max="128" width="36" customWidth="1"/>
    <col min="129" max="129" width="50" customWidth="1"/>
    <col min="130" max="130" width="40" customWidth="1"/>
    <col min="131" max="131" width="36" customWidth="1"/>
    <col min="132" max="132" width="50" customWidth="1"/>
    <col min="133" max="138" width="36" customWidth="1"/>
    <col min="139" max="139" width="50" customWidth="1"/>
    <col min="140" max="140" width="40" customWidth="1"/>
    <col min="141" max="141" width="36" customWidth="1"/>
    <col min="142" max="142" width="50" customWidth="1"/>
    <col min="143" max="148" width="36" customWidth="1"/>
    <col min="149" max="149" width="50" customWidth="1"/>
    <col min="150" max="150" width="40" customWidth="1"/>
    <col min="151" max="151" width="36" customWidth="1"/>
    <col min="152" max="152" width="50" customWidth="1"/>
    <col min="153" max="158" width="36" customWidth="1"/>
    <col min="159" max="159" width="50" customWidth="1"/>
    <col min="160" max="160" width="40" customWidth="1"/>
    <col min="161" max="161" width="36" customWidth="1"/>
    <col min="162" max="162" width="50" customWidth="1"/>
    <col min="163" max="168" width="36" customWidth="1"/>
    <col min="169" max="169" width="50" customWidth="1"/>
    <col min="170" max="170" width="40" customWidth="1"/>
    <col min="171" max="171" width="20" customWidth="1"/>
    <col min="172" max="173" width="18" customWidth="1"/>
    <col min="174" max="174" width="20" customWidth="1"/>
    <col min="175" max="176" width="18" customWidth="1"/>
    <col min="177" max="177" width="20" customWidth="1"/>
    <col min="178" max="179" width="18" customWidth="1"/>
    <col min="180" max="180" width="20" customWidth="1"/>
    <col min="181" max="182" width="18" customWidth="1"/>
    <col min="183" max="183" width="20" customWidth="1"/>
    <col min="184" max="185" width="18" customWidth="1"/>
  </cols>
  <sheetData>
    <row r="1" spans="1:185" ht="20" customHeight="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 t="s">
        <v>1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 t="s">
        <v>0</v>
      </c>
      <c r="AK1" s="13"/>
      <c r="AL1" s="13"/>
      <c r="AM1" s="13"/>
      <c r="AN1" s="13"/>
      <c r="AO1" s="14" t="s">
        <v>2</v>
      </c>
      <c r="AP1" s="14"/>
      <c r="AQ1" s="14"/>
      <c r="AR1" s="14"/>
      <c r="AS1" s="14"/>
      <c r="AT1" s="14"/>
      <c r="AU1" s="14"/>
      <c r="AV1" s="14"/>
      <c r="AW1" s="14"/>
      <c r="AX1" s="14"/>
      <c r="AY1" s="15" t="s">
        <v>3</v>
      </c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6" t="s">
        <v>4</v>
      </c>
      <c r="DH1" s="16"/>
      <c r="DI1" s="16"/>
      <c r="DJ1" s="16"/>
      <c r="DK1" s="16"/>
      <c r="DL1" s="16"/>
      <c r="DM1" s="16"/>
      <c r="DN1" s="16"/>
      <c r="DO1" s="16"/>
      <c r="DP1" s="16"/>
      <c r="DQ1" s="16" t="s">
        <v>5</v>
      </c>
      <c r="DR1" s="16"/>
      <c r="DS1" s="16"/>
      <c r="DT1" s="16"/>
      <c r="DU1" s="16"/>
      <c r="DV1" s="16"/>
      <c r="DW1" s="16"/>
      <c r="DX1" s="16"/>
      <c r="DY1" s="16"/>
      <c r="DZ1" s="16"/>
      <c r="EA1" s="16" t="s">
        <v>6</v>
      </c>
      <c r="EB1" s="16"/>
      <c r="EC1" s="16"/>
      <c r="ED1" s="16"/>
      <c r="EE1" s="16"/>
      <c r="EF1" s="16"/>
      <c r="EG1" s="16"/>
      <c r="EH1" s="16"/>
      <c r="EI1" s="16"/>
      <c r="EJ1" s="16"/>
      <c r="EK1" s="16" t="s">
        <v>7</v>
      </c>
      <c r="EL1" s="16"/>
      <c r="EM1" s="16"/>
      <c r="EN1" s="16"/>
      <c r="EO1" s="16"/>
      <c r="EP1" s="16"/>
      <c r="EQ1" s="16"/>
      <c r="ER1" s="16"/>
      <c r="ES1" s="16"/>
      <c r="ET1" s="16"/>
      <c r="EU1" s="16" t="s">
        <v>8</v>
      </c>
      <c r="EV1" s="16"/>
      <c r="EW1" s="16"/>
      <c r="EX1" s="16"/>
      <c r="EY1" s="16"/>
      <c r="EZ1" s="16"/>
      <c r="FA1" s="16"/>
      <c r="FB1" s="16"/>
      <c r="FC1" s="16"/>
      <c r="FD1" s="16"/>
      <c r="FE1" s="16" t="s">
        <v>9</v>
      </c>
      <c r="FF1" s="16"/>
      <c r="FG1" s="16"/>
      <c r="FH1" s="16"/>
      <c r="FI1" s="16"/>
      <c r="FJ1" s="16"/>
      <c r="FK1" s="16"/>
      <c r="FL1" s="16"/>
      <c r="FM1" s="16"/>
      <c r="FN1" s="16"/>
      <c r="FO1" s="17" t="s">
        <v>10</v>
      </c>
      <c r="FP1" s="17"/>
      <c r="FQ1" s="17"/>
      <c r="FR1" s="17" t="s">
        <v>11</v>
      </c>
      <c r="FS1" s="17"/>
      <c r="FT1" s="17"/>
      <c r="FU1" s="17" t="s">
        <v>12</v>
      </c>
      <c r="FV1" s="17"/>
      <c r="FW1" s="17"/>
      <c r="FX1" s="17" t="s">
        <v>13</v>
      </c>
      <c r="FY1" s="17"/>
      <c r="FZ1" s="17"/>
      <c r="GA1" s="17" t="s">
        <v>14</v>
      </c>
      <c r="GB1" s="17"/>
      <c r="GC1" s="17"/>
    </row>
    <row r="2" spans="1:185" ht="28" customHeight="1" x14ac:dyDescent="0.3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2" t="s">
        <v>55</v>
      </c>
      <c r="AP2" s="2" t="s">
        <v>56</v>
      </c>
      <c r="AQ2" s="2" t="s">
        <v>57</v>
      </c>
      <c r="AR2" s="2" t="s">
        <v>58</v>
      </c>
      <c r="AS2" s="2" t="s">
        <v>59</v>
      </c>
      <c r="AT2" s="2" t="s">
        <v>60</v>
      </c>
      <c r="AU2" s="2" t="s">
        <v>61</v>
      </c>
      <c r="AV2" s="2" t="s">
        <v>62</v>
      </c>
      <c r="AW2" s="2" t="s">
        <v>63</v>
      </c>
      <c r="AX2" s="2" t="s">
        <v>64</v>
      </c>
      <c r="AY2" s="3" t="s">
        <v>65</v>
      </c>
      <c r="AZ2" s="3" t="s">
        <v>66</v>
      </c>
      <c r="BA2" s="3" t="s">
        <v>67</v>
      </c>
      <c r="BB2" s="3" t="s">
        <v>68</v>
      </c>
      <c r="BC2" s="3" t="s">
        <v>69</v>
      </c>
      <c r="BD2" s="3" t="s">
        <v>70</v>
      </c>
      <c r="BE2" s="3" t="s">
        <v>71</v>
      </c>
      <c r="BF2" s="3" t="s">
        <v>72</v>
      </c>
      <c r="BG2" s="3" t="s">
        <v>73</v>
      </c>
      <c r="BH2" s="3" t="s">
        <v>74</v>
      </c>
      <c r="BI2" s="3" t="s">
        <v>75</v>
      </c>
      <c r="BJ2" s="3" t="s">
        <v>76</v>
      </c>
      <c r="BK2" s="3" t="s">
        <v>77</v>
      </c>
      <c r="BL2" s="3" t="s">
        <v>78</v>
      </c>
      <c r="BM2" s="3" t="s">
        <v>79</v>
      </c>
      <c r="BN2" s="3" t="s">
        <v>80</v>
      </c>
      <c r="BO2" s="3" t="s">
        <v>81</v>
      </c>
      <c r="BP2" s="3" t="s">
        <v>82</v>
      </c>
      <c r="BQ2" s="3" t="s">
        <v>83</v>
      </c>
      <c r="BR2" s="3" t="s">
        <v>84</v>
      </c>
      <c r="BS2" s="3" t="s">
        <v>85</v>
      </c>
      <c r="BT2" s="3" t="s">
        <v>86</v>
      </c>
      <c r="BU2" s="3" t="s">
        <v>87</v>
      </c>
      <c r="BV2" s="3" t="s">
        <v>88</v>
      </c>
      <c r="BW2" s="3" t="s">
        <v>89</v>
      </c>
      <c r="BX2" s="3" t="s">
        <v>90</v>
      </c>
      <c r="BY2" s="3" t="s">
        <v>91</v>
      </c>
      <c r="BZ2" s="3" t="s">
        <v>92</v>
      </c>
      <c r="CA2" s="3" t="s">
        <v>93</v>
      </c>
      <c r="CB2" s="3" t="s">
        <v>94</v>
      </c>
      <c r="CC2" s="3" t="s">
        <v>95</v>
      </c>
      <c r="CD2" s="3" t="s">
        <v>96</v>
      </c>
      <c r="CE2" s="3" t="s">
        <v>97</v>
      </c>
      <c r="CF2" s="3" t="s">
        <v>98</v>
      </c>
      <c r="CG2" s="3" t="s">
        <v>99</v>
      </c>
      <c r="CH2" s="3" t="s">
        <v>100</v>
      </c>
      <c r="CI2" s="3" t="s">
        <v>101</v>
      </c>
      <c r="CJ2" s="3" t="s">
        <v>102</v>
      </c>
      <c r="CK2" s="3" t="s">
        <v>103</v>
      </c>
      <c r="CL2" s="3" t="s">
        <v>104</v>
      </c>
      <c r="CM2" s="3" t="s">
        <v>105</v>
      </c>
      <c r="CN2" s="3" t="s">
        <v>106</v>
      </c>
      <c r="CO2" s="3" t="s">
        <v>107</v>
      </c>
      <c r="CP2" s="3" t="s">
        <v>108</v>
      </c>
      <c r="CQ2" s="3" t="s">
        <v>109</v>
      </c>
      <c r="CR2" s="3" t="s">
        <v>110</v>
      </c>
      <c r="CS2" s="3" t="s">
        <v>111</v>
      </c>
      <c r="CT2" s="3" t="s">
        <v>112</v>
      </c>
      <c r="CU2" s="3" t="s">
        <v>113</v>
      </c>
      <c r="CV2" s="3" t="s">
        <v>114</v>
      </c>
      <c r="CW2" s="3" t="s">
        <v>115</v>
      </c>
      <c r="CX2" s="3" t="s">
        <v>116</v>
      </c>
      <c r="CY2" s="3" t="s">
        <v>117</v>
      </c>
      <c r="CZ2" s="3" t="s">
        <v>118</v>
      </c>
      <c r="DA2" s="3" t="s">
        <v>119</v>
      </c>
      <c r="DB2" s="3" t="s">
        <v>120</v>
      </c>
      <c r="DC2" s="3" t="s">
        <v>121</v>
      </c>
      <c r="DD2" s="3" t="s">
        <v>122</v>
      </c>
      <c r="DE2" s="3" t="s">
        <v>123</v>
      </c>
      <c r="DF2" s="3" t="s">
        <v>124</v>
      </c>
      <c r="DG2" s="4" t="s">
        <v>125</v>
      </c>
      <c r="DH2" s="4" t="s">
        <v>126</v>
      </c>
      <c r="DI2" s="4" t="s">
        <v>127</v>
      </c>
      <c r="DJ2" s="4" t="s">
        <v>128</v>
      </c>
      <c r="DK2" s="4" t="s">
        <v>129</v>
      </c>
      <c r="DL2" s="4" t="s">
        <v>130</v>
      </c>
      <c r="DM2" s="4" t="s">
        <v>131</v>
      </c>
      <c r="DN2" s="4" t="s">
        <v>132</v>
      </c>
      <c r="DO2" s="4" t="s">
        <v>133</v>
      </c>
      <c r="DP2" s="4" t="s">
        <v>134</v>
      </c>
      <c r="DQ2" s="4" t="s">
        <v>135</v>
      </c>
      <c r="DR2" s="4" t="s">
        <v>136</v>
      </c>
      <c r="DS2" s="4" t="s">
        <v>137</v>
      </c>
      <c r="DT2" s="4" t="s">
        <v>138</v>
      </c>
      <c r="DU2" s="4" t="s">
        <v>139</v>
      </c>
      <c r="DV2" s="4" t="s">
        <v>140</v>
      </c>
      <c r="DW2" s="4" t="s">
        <v>141</v>
      </c>
      <c r="DX2" s="4" t="s">
        <v>142</v>
      </c>
      <c r="DY2" s="4" t="s">
        <v>143</v>
      </c>
      <c r="DZ2" s="4" t="s">
        <v>144</v>
      </c>
      <c r="EA2" s="4" t="s">
        <v>145</v>
      </c>
      <c r="EB2" s="4" t="s">
        <v>146</v>
      </c>
      <c r="EC2" s="4" t="s">
        <v>147</v>
      </c>
      <c r="ED2" s="4" t="s">
        <v>148</v>
      </c>
      <c r="EE2" s="4" t="s">
        <v>149</v>
      </c>
      <c r="EF2" s="4" t="s">
        <v>150</v>
      </c>
      <c r="EG2" s="4" t="s">
        <v>151</v>
      </c>
      <c r="EH2" s="4" t="s">
        <v>152</v>
      </c>
      <c r="EI2" s="4" t="s">
        <v>153</v>
      </c>
      <c r="EJ2" s="4" t="s">
        <v>154</v>
      </c>
      <c r="EK2" s="4" t="s">
        <v>155</v>
      </c>
      <c r="EL2" s="4" t="s">
        <v>156</v>
      </c>
      <c r="EM2" s="4" t="s">
        <v>157</v>
      </c>
      <c r="EN2" s="4" t="s">
        <v>158</v>
      </c>
      <c r="EO2" s="4" t="s">
        <v>159</v>
      </c>
      <c r="EP2" s="4" t="s">
        <v>160</v>
      </c>
      <c r="EQ2" s="4" t="s">
        <v>161</v>
      </c>
      <c r="ER2" s="4" t="s">
        <v>162</v>
      </c>
      <c r="ES2" s="4" t="s">
        <v>163</v>
      </c>
      <c r="ET2" s="4" t="s">
        <v>164</v>
      </c>
      <c r="EU2" s="4" t="s">
        <v>165</v>
      </c>
      <c r="EV2" s="4" t="s">
        <v>166</v>
      </c>
      <c r="EW2" s="4" t="s">
        <v>167</v>
      </c>
      <c r="EX2" s="4" t="s">
        <v>168</v>
      </c>
      <c r="EY2" s="4" t="s">
        <v>169</v>
      </c>
      <c r="EZ2" s="4" t="s">
        <v>170</v>
      </c>
      <c r="FA2" s="4" t="s">
        <v>171</v>
      </c>
      <c r="FB2" s="4" t="s">
        <v>172</v>
      </c>
      <c r="FC2" s="4" t="s">
        <v>173</v>
      </c>
      <c r="FD2" s="4" t="s">
        <v>174</v>
      </c>
      <c r="FE2" s="4" t="s">
        <v>175</v>
      </c>
      <c r="FF2" s="4" t="s">
        <v>176</v>
      </c>
      <c r="FG2" s="4" t="s">
        <v>177</v>
      </c>
      <c r="FH2" s="4" t="s">
        <v>178</v>
      </c>
      <c r="FI2" s="4" t="s">
        <v>179</v>
      </c>
      <c r="FJ2" s="4" t="s">
        <v>180</v>
      </c>
      <c r="FK2" s="4" t="s">
        <v>181</v>
      </c>
      <c r="FL2" s="4" t="s">
        <v>182</v>
      </c>
      <c r="FM2" s="4" t="s">
        <v>183</v>
      </c>
      <c r="FN2" s="4" t="s">
        <v>184</v>
      </c>
      <c r="FO2" s="5" t="s">
        <v>185</v>
      </c>
      <c r="FP2" s="5" t="s">
        <v>186</v>
      </c>
      <c r="FQ2" s="5" t="s">
        <v>187</v>
      </c>
      <c r="FR2" s="5" t="s">
        <v>188</v>
      </c>
      <c r="FS2" s="5" t="s">
        <v>189</v>
      </c>
      <c r="FT2" s="5" t="s">
        <v>190</v>
      </c>
      <c r="FU2" s="5" t="s">
        <v>191</v>
      </c>
      <c r="FV2" s="5" t="s">
        <v>192</v>
      </c>
      <c r="FW2" s="5" t="s">
        <v>193</v>
      </c>
      <c r="FX2" s="5" t="s">
        <v>194</v>
      </c>
      <c r="FY2" s="5" t="s">
        <v>195</v>
      </c>
      <c r="FZ2" s="5" t="s">
        <v>196</v>
      </c>
      <c r="GA2" s="5" t="s">
        <v>197</v>
      </c>
      <c r="GB2" s="5" t="s">
        <v>198</v>
      </c>
      <c r="GC2" s="5" t="s">
        <v>199</v>
      </c>
    </row>
    <row r="3" spans="1:185" ht="20" customHeight="1" x14ac:dyDescent="0.35">
      <c r="A3" s="6" t="s">
        <v>200</v>
      </c>
      <c r="B3" s="6" t="s">
        <v>201</v>
      </c>
      <c r="C3" s="6" t="s">
        <v>202</v>
      </c>
      <c r="D3" s="6" t="s">
        <v>203</v>
      </c>
      <c r="E3" s="6" t="s">
        <v>204</v>
      </c>
      <c r="F3" s="6" t="s">
        <v>205</v>
      </c>
      <c r="G3" s="6" t="s">
        <v>206</v>
      </c>
      <c r="H3" s="6" t="s">
        <v>207</v>
      </c>
      <c r="I3" s="6" t="s">
        <v>208</v>
      </c>
      <c r="J3" s="6" t="s">
        <v>209</v>
      </c>
      <c r="K3" s="6" t="s">
        <v>210</v>
      </c>
      <c r="L3" s="6" t="s">
        <v>211</v>
      </c>
      <c r="M3" s="6" t="s">
        <v>212</v>
      </c>
      <c r="N3" s="6" t="s">
        <v>213</v>
      </c>
      <c r="O3" s="6" t="s">
        <v>214</v>
      </c>
      <c r="P3" s="6" t="s">
        <v>215</v>
      </c>
      <c r="Q3" s="6" t="s">
        <v>216</v>
      </c>
      <c r="R3" s="6" t="s">
        <v>217</v>
      </c>
      <c r="S3" s="6" t="s">
        <v>218</v>
      </c>
      <c r="T3" s="6" t="s">
        <v>219</v>
      </c>
      <c r="U3" s="6" t="s">
        <v>220</v>
      </c>
      <c r="V3" s="6" t="s">
        <v>221</v>
      </c>
      <c r="W3" s="6" t="s">
        <v>222</v>
      </c>
      <c r="X3" s="6" t="s">
        <v>223</v>
      </c>
      <c r="Y3" s="6" t="s">
        <v>224</v>
      </c>
      <c r="Z3" s="6" t="s">
        <v>225</v>
      </c>
      <c r="AA3" s="6" t="s">
        <v>226</v>
      </c>
      <c r="AB3" s="6" t="s">
        <v>227</v>
      </c>
      <c r="AC3" s="6" t="s">
        <v>228</v>
      </c>
      <c r="AD3" s="6" t="s">
        <v>229</v>
      </c>
      <c r="AE3" s="6" t="s">
        <v>230</v>
      </c>
      <c r="AF3" s="6" t="s">
        <v>231</v>
      </c>
      <c r="AG3" s="6" t="s">
        <v>232</v>
      </c>
      <c r="AH3" s="6" t="s">
        <v>233</v>
      </c>
      <c r="AI3" s="6" t="s">
        <v>234</v>
      </c>
      <c r="AJ3" s="6" t="s">
        <v>235</v>
      </c>
      <c r="AK3" s="6" t="s">
        <v>236</v>
      </c>
      <c r="AL3" s="6" t="s">
        <v>237</v>
      </c>
      <c r="AM3" s="6" t="s">
        <v>238</v>
      </c>
      <c r="AN3" s="6" t="s">
        <v>239</v>
      </c>
      <c r="AO3" s="6" t="s">
        <v>240</v>
      </c>
      <c r="AP3" s="6" t="s">
        <v>241</v>
      </c>
      <c r="AQ3" s="6" t="s">
        <v>242</v>
      </c>
      <c r="AR3" s="6" t="s">
        <v>243</v>
      </c>
      <c r="AS3" s="6" t="s">
        <v>244</v>
      </c>
      <c r="AT3" s="6" t="s">
        <v>245</v>
      </c>
      <c r="AU3" s="6" t="s">
        <v>246</v>
      </c>
      <c r="AV3" s="6" t="s">
        <v>247</v>
      </c>
      <c r="AW3" s="6" t="s">
        <v>248</v>
      </c>
      <c r="AX3" s="6" t="s">
        <v>249</v>
      </c>
      <c r="AY3" s="6" t="s">
        <v>250</v>
      </c>
      <c r="AZ3" s="6" t="s">
        <v>251</v>
      </c>
      <c r="BA3" s="6" t="s">
        <v>252</v>
      </c>
      <c r="BB3" s="6" t="s">
        <v>253</v>
      </c>
      <c r="BC3" s="6" t="s">
        <v>254</v>
      </c>
      <c r="BD3" s="6" t="s">
        <v>255</v>
      </c>
      <c r="BE3" s="6" t="s">
        <v>256</v>
      </c>
      <c r="BF3" s="6" t="s">
        <v>257</v>
      </c>
      <c r="BG3" s="6" t="s">
        <v>258</v>
      </c>
      <c r="BH3" s="6" t="s">
        <v>259</v>
      </c>
      <c r="BI3" s="6" t="s">
        <v>260</v>
      </c>
      <c r="BJ3" s="6" t="s">
        <v>261</v>
      </c>
      <c r="BK3" s="6" t="s">
        <v>262</v>
      </c>
      <c r="BL3" s="6" t="s">
        <v>263</v>
      </c>
      <c r="BM3" s="6" t="s">
        <v>264</v>
      </c>
      <c r="BN3" s="6" t="s">
        <v>265</v>
      </c>
      <c r="BO3" s="6" t="s">
        <v>266</v>
      </c>
      <c r="BP3" s="6" t="s">
        <v>267</v>
      </c>
      <c r="BQ3" s="6" t="s">
        <v>268</v>
      </c>
      <c r="BR3" s="6" t="s">
        <v>269</v>
      </c>
      <c r="BS3" s="6" t="s">
        <v>270</v>
      </c>
      <c r="BT3" s="6" t="s">
        <v>271</v>
      </c>
      <c r="BU3" s="6" t="s">
        <v>272</v>
      </c>
      <c r="BV3" s="6" t="s">
        <v>273</v>
      </c>
      <c r="BW3" s="6" t="s">
        <v>274</v>
      </c>
      <c r="BX3" s="6" t="s">
        <v>275</v>
      </c>
      <c r="BY3" s="6" t="s">
        <v>276</v>
      </c>
      <c r="BZ3" s="6" t="s">
        <v>277</v>
      </c>
      <c r="CA3" s="6" t="s">
        <v>278</v>
      </c>
      <c r="CB3" s="6" t="s">
        <v>279</v>
      </c>
      <c r="CC3" s="6" t="s">
        <v>280</v>
      </c>
      <c r="CD3" s="6" t="s">
        <v>281</v>
      </c>
      <c r="CE3" s="6" t="s">
        <v>282</v>
      </c>
      <c r="CF3" s="6" t="s">
        <v>283</v>
      </c>
      <c r="CG3" s="6" t="s">
        <v>284</v>
      </c>
      <c r="CH3" s="6" t="s">
        <v>285</v>
      </c>
      <c r="CI3" s="6" t="s">
        <v>286</v>
      </c>
      <c r="CJ3" s="6" t="s">
        <v>287</v>
      </c>
      <c r="CK3" s="6" t="s">
        <v>288</v>
      </c>
      <c r="CL3" s="6" t="s">
        <v>289</v>
      </c>
      <c r="CM3" s="6" t="s">
        <v>290</v>
      </c>
      <c r="CN3" s="6" t="s">
        <v>291</v>
      </c>
      <c r="CO3" s="6" t="s">
        <v>292</v>
      </c>
      <c r="CP3" s="6" t="s">
        <v>293</v>
      </c>
      <c r="CQ3" s="6" t="s">
        <v>294</v>
      </c>
      <c r="CR3" s="6" t="s">
        <v>295</v>
      </c>
      <c r="CS3" s="6" t="s">
        <v>296</v>
      </c>
      <c r="CT3" s="6" t="s">
        <v>297</v>
      </c>
      <c r="CU3" s="6" t="s">
        <v>298</v>
      </c>
      <c r="CV3" s="6" t="s">
        <v>299</v>
      </c>
      <c r="CW3" s="6" t="s">
        <v>300</v>
      </c>
      <c r="CX3" s="6" t="s">
        <v>301</v>
      </c>
      <c r="CY3" s="6" t="s">
        <v>302</v>
      </c>
      <c r="CZ3" s="6" t="s">
        <v>303</v>
      </c>
      <c r="DA3" s="6" t="s">
        <v>304</v>
      </c>
      <c r="DB3" s="6" t="s">
        <v>305</v>
      </c>
      <c r="DC3" s="6" t="s">
        <v>306</v>
      </c>
      <c r="DD3" s="6" t="s">
        <v>307</v>
      </c>
      <c r="DE3" s="6" t="s">
        <v>308</v>
      </c>
      <c r="DF3" s="6" t="s">
        <v>309</v>
      </c>
      <c r="DG3" s="6" t="s">
        <v>310</v>
      </c>
      <c r="DH3" s="6" t="s">
        <v>311</v>
      </c>
      <c r="DI3" s="6" t="s">
        <v>312</v>
      </c>
      <c r="DJ3" s="6" t="s">
        <v>313</v>
      </c>
      <c r="DK3" s="6" t="s">
        <v>314</v>
      </c>
      <c r="DL3" s="6" t="s">
        <v>315</v>
      </c>
      <c r="DM3" s="6" t="s">
        <v>316</v>
      </c>
      <c r="DN3" s="6" t="s">
        <v>317</v>
      </c>
      <c r="DO3" s="6" t="s">
        <v>318</v>
      </c>
      <c r="DP3" s="6" t="s">
        <v>319</v>
      </c>
      <c r="DQ3" s="6" t="s">
        <v>320</v>
      </c>
      <c r="DR3" s="6" t="s">
        <v>321</v>
      </c>
      <c r="DS3" s="6" t="s">
        <v>312</v>
      </c>
      <c r="DT3" s="6" t="s">
        <v>313</v>
      </c>
      <c r="DU3" s="6" t="s">
        <v>314</v>
      </c>
      <c r="DV3" s="6" t="s">
        <v>315</v>
      </c>
      <c r="DW3" s="6" t="s">
        <v>316</v>
      </c>
      <c r="DX3" s="6" t="s">
        <v>322</v>
      </c>
      <c r="DY3" s="6" t="s">
        <v>323</v>
      </c>
      <c r="DZ3" s="6" t="s">
        <v>324</v>
      </c>
      <c r="EA3" s="6" t="s">
        <v>325</v>
      </c>
      <c r="EB3" s="6" t="s">
        <v>326</v>
      </c>
      <c r="EC3" s="6" t="s">
        <v>312</v>
      </c>
      <c r="ED3" s="6" t="s">
        <v>313</v>
      </c>
      <c r="EE3" s="6" t="s">
        <v>314</v>
      </c>
      <c r="EF3" s="6" t="s">
        <v>315</v>
      </c>
      <c r="EG3" s="6" t="s">
        <v>316</v>
      </c>
      <c r="EH3" s="6" t="s">
        <v>327</v>
      </c>
      <c r="EI3" s="6" t="s">
        <v>328</v>
      </c>
      <c r="EJ3" s="6" t="s">
        <v>329</v>
      </c>
      <c r="EK3" s="6" t="s">
        <v>330</v>
      </c>
      <c r="EL3" s="6" t="s">
        <v>331</v>
      </c>
      <c r="EM3" s="6" t="s">
        <v>312</v>
      </c>
      <c r="EN3" s="6" t="s">
        <v>313</v>
      </c>
      <c r="EO3" s="6" t="s">
        <v>314</v>
      </c>
      <c r="EP3" s="6" t="s">
        <v>315</v>
      </c>
      <c r="EQ3" s="6" t="s">
        <v>316</v>
      </c>
      <c r="ER3" s="6" t="s">
        <v>332</v>
      </c>
      <c r="ES3" s="6" t="s">
        <v>333</v>
      </c>
      <c r="ET3" s="6" t="s">
        <v>334</v>
      </c>
      <c r="EU3" s="6" t="s">
        <v>335</v>
      </c>
      <c r="EV3" s="6" t="s">
        <v>336</v>
      </c>
      <c r="EW3" s="6" t="s">
        <v>312</v>
      </c>
      <c r="EX3" s="6" t="s">
        <v>313</v>
      </c>
      <c r="EY3" s="6" t="s">
        <v>314</v>
      </c>
      <c r="EZ3" s="6" t="s">
        <v>315</v>
      </c>
      <c r="FA3" s="6" t="s">
        <v>316</v>
      </c>
      <c r="FB3" s="6" t="s">
        <v>337</v>
      </c>
      <c r="FC3" s="6" t="s">
        <v>338</v>
      </c>
      <c r="FD3" s="6" t="s">
        <v>339</v>
      </c>
      <c r="FE3" s="6" t="s">
        <v>340</v>
      </c>
      <c r="FF3" s="6" t="s">
        <v>341</v>
      </c>
      <c r="FG3" s="6" t="s">
        <v>312</v>
      </c>
      <c r="FH3" s="6" t="s">
        <v>313</v>
      </c>
      <c r="FI3" s="6" t="s">
        <v>314</v>
      </c>
      <c r="FJ3" s="6" t="s">
        <v>315</v>
      </c>
      <c r="FK3" s="6" t="s">
        <v>316</v>
      </c>
      <c r="FL3" s="6" t="s">
        <v>342</v>
      </c>
      <c r="FM3" s="6" t="s">
        <v>343</v>
      </c>
      <c r="FN3" s="6" t="s">
        <v>344</v>
      </c>
      <c r="FO3" s="6" t="s">
        <v>345</v>
      </c>
      <c r="FP3" s="6" t="s">
        <v>346</v>
      </c>
      <c r="FQ3" s="6" t="s">
        <v>347</v>
      </c>
      <c r="FR3" s="6" t="s">
        <v>348</v>
      </c>
      <c r="FS3" s="6" t="s">
        <v>346</v>
      </c>
      <c r="FT3" s="6" t="s">
        <v>347</v>
      </c>
      <c r="FU3" s="6" t="s">
        <v>349</v>
      </c>
      <c r="FV3" s="6" t="s">
        <v>346</v>
      </c>
      <c r="FW3" s="6" t="s">
        <v>347</v>
      </c>
      <c r="FX3" s="6" t="s">
        <v>350</v>
      </c>
      <c r="FY3" s="6" t="s">
        <v>346</v>
      </c>
      <c r="FZ3" s="6" t="s">
        <v>347</v>
      </c>
      <c r="GA3" s="6" t="s">
        <v>351</v>
      </c>
      <c r="GB3" s="6" t="s">
        <v>346</v>
      </c>
      <c r="GC3" s="6" t="s">
        <v>347</v>
      </c>
    </row>
    <row r="4" spans="1:185" ht="18" customHeight="1" x14ac:dyDescent="0.35">
      <c r="A4" s="7" t="s">
        <v>352</v>
      </c>
      <c r="B4" s="7" t="s">
        <v>353</v>
      </c>
      <c r="C4" s="8"/>
      <c r="D4" s="7" t="s">
        <v>354</v>
      </c>
      <c r="E4" s="7" t="s">
        <v>355</v>
      </c>
      <c r="F4" s="7" t="s">
        <v>356</v>
      </c>
      <c r="G4" s="7" t="s">
        <v>357</v>
      </c>
      <c r="H4" s="7" t="s">
        <v>358</v>
      </c>
      <c r="I4" s="7" t="s">
        <v>359</v>
      </c>
      <c r="J4" s="7" t="s">
        <v>360</v>
      </c>
      <c r="K4" s="8"/>
      <c r="L4" s="8"/>
      <c r="M4" s="8"/>
      <c r="N4" s="7">
        <v>200</v>
      </c>
      <c r="O4" s="8"/>
      <c r="P4" s="8"/>
      <c r="Q4" s="8"/>
      <c r="R4" s="7" t="s">
        <v>361</v>
      </c>
      <c r="S4" s="8"/>
      <c r="T4" s="8"/>
      <c r="U4" s="8"/>
      <c r="V4" s="8"/>
      <c r="W4" s="8"/>
      <c r="X4" s="7" t="s">
        <v>362</v>
      </c>
      <c r="Y4" s="8"/>
      <c r="Z4" s="7" t="s">
        <v>363</v>
      </c>
      <c r="AA4" s="8"/>
      <c r="AB4" s="8"/>
      <c r="AC4" s="8"/>
      <c r="AD4" s="8"/>
      <c r="AE4" s="8"/>
      <c r="AF4" s="8"/>
      <c r="AG4" s="8"/>
      <c r="AH4" s="8"/>
      <c r="AI4" s="8"/>
      <c r="AJ4" s="7" t="s">
        <v>364</v>
      </c>
      <c r="AK4" s="7">
        <v>200</v>
      </c>
      <c r="AL4" s="7">
        <v>1000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7" t="s">
        <v>365</v>
      </c>
      <c r="DH4" s="7" t="s">
        <v>366</v>
      </c>
      <c r="DI4" s="7" t="s">
        <v>367</v>
      </c>
      <c r="DJ4" s="7" t="s">
        <v>368</v>
      </c>
      <c r="DK4" s="7" t="s">
        <v>369</v>
      </c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7" t="s">
        <v>370</v>
      </c>
      <c r="FP4" s="7" t="s">
        <v>371</v>
      </c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</row>
    <row r="5" spans="1:185" ht="18" customHeight="1" x14ac:dyDescent="0.35">
      <c r="A5" s="9" t="s">
        <v>372</v>
      </c>
      <c r="B5" s="9" t="s">
        <v>373</v>
      </c>
      <c r="C5" s="9" t="s">
        <v>353</v>
      </c>
      <c r="D5" s="10"/>
      <c r="E5" s="9" t="s">
        <v>374</v>
      </c>
      <c r="F5" s="9">
        <v>50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9" t="s">
        <v>375</v>
      </c>
      <c r="S5" s="10"/>
      <c r="T5" s="10"/>
      <c r="U5" s="10"/>
      <c r="V5" s="10"/>
      <c r="W5" s="9" t="s">
        <v>376</v>
      </c>
      <c r="X5" s="10"/>
      <c r="Y5" s="9" t="s">
        <v>377</v>
      </c>
      <c r="Z5" s="10"/>
      <c r="AA5" s="9" t="s">
        <v>378</v>
      </c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</row>
    <row r="6" spans="1:185" ht="18" customHeight="1" x14ac:dyDescent="0.35">
      <c r="A6" s="9" t="s">
        <v>372</v>
      </c>
      <c r="B6" s="9" t="s">
        <v>379</v>
      </c>
      <c r="C6" s="9" t="s">
        <v>353</v>
      </c>
      <c r="D6" s="10"/>
      <c r="E6" s="9" t="s">
        <v>380</v>
      </c>
      <c r="F6" s="9">
        <v>80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9" t="s">
        <v>375</v>
      </c>
      <c r="S6" s="10"/>
      <c r="T6" s="10"/>
      <c r="U6" s="10"/>
      <c r="V6" s="10"/>
      <c r="W6" s="9" t="s">
        <v>376</v>
      </c>
      <c r="X6" s="10"/>
      <c r="Y6" s="9" t="s">
        <v>377</v>
      </c>
      <c r="Z6" s="10"/>
      <c r="AA6" s="9" t="s">
        <v>381</v>
      </c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</row>
    <row r="7" spans="1:185" x14ac:dyDescent="0.35">
      <c r="A7" t="s">
        <v>352</v>
      </c>
      <c r="B7" t="s">
        <v>419</v>
      </c>
      <c r="D7" t="s">
        <v>354</v>
      </c>
      <c r="E7">
        <v>1234567890</v>
      </c>
      <c r="G7" t="s">
        <v>357</v>
      </c>
      <c r="H7" t="s">
        <v>416</v>
      </c>
      <c r="I7" t="s">
        <v>359</v>
      </c>
      <c r="J7" t="s">
        <v>360</v>
      </c>
      <c r="K7" t="s">
        <v>422</v>
      </c>
      <c r="L7" t="s">
        <v>425</v>
      </c>
      <c r="M7" t="str">
        <f>K7&amp;"2"</f>
        <v>Ander2</v>
      </c>
      <c r="N7">
        <v>101</v>
      </c>
      <c r="O7">
        <v>1</v>
      </c>
      <c r="P7">
        <f>O7+5</f>
        <v>6</v>
      </c>
      <c r="Q7">
        <f>P7+5</f>
        <v>11</v>
      </c>
      <c r="R7" s="18"/>
      <c r="S7" s="18"/>
      <c r="X7" t="s">
        <v>362</v>
      </c>
      <c r="Z7" t="s">
        <v>363</v>
      </c>
      <c r="AJ7" t="s">
        <v>364</v>
      </c>
      <c r="AK7">
        <v>111</v>
      </c>
      <c r="AL7">
        <v>1000</v>
      </c>
      <c r="AM7">
        <v>1234567</v>
      </c>
      <c r="AN7">
        <v>12345</v>
      </c>
      <c r="AO7" s="18" t="s">
        <v>454</v>
      </c>
      <c r="AP7" t="s">
        <v>455</v>
      </c>
      <c r="AQ7" s="18" t="s">
        <v>457</v>
      </c>
      <c r="AR7" t="s">
        <v>456</v>
      </c>
      <c r="AY7" t="s">
        <v>458</v>
      </c>
      <c r="AZ7" t="s">
        <v>460</v>
      </c>
      <c r="BA7" t="s">
        <v>613</v>
      </c>
      <c r="BB7" t="s">
        <v>461</v>
      </c>
      <c r="BC7" t="s">
        <v>459</v>
      </c>
      <c r="BD7" t="s">
        <v>462</v>
      </c>
      <c r="DG7" t="str">
        <f>MID($I7,1,FIND("-",$I7,1)-1)&amp;" | "&amp;$Y7&amp;" | "&amp;$AA7&amp;" | "&amp;DG$2</f>
        <v>appliances |  |  | title_de</v>
      </c>
      <c r="DH7" t="str">
        <f>MID($I7,1,FIND("-",$I7,1)-1)&amp;" | "&amp;$Y7&amp;" | "&amp;$AA7&amp;" | "&amp;DH$2</f>
        <v>appliances |  |  | description_de</v>
      </c>
      <c r="DI7" t="str">
        <f>MID($I7,1,FIND("-",$I7,1)-1)&amp;" | "&amp;$Y7&amp;" | "&amp;$AA7&amp;" | "&amp;DI$2</f>
        <v>appliances |  |  | bullet1_de</v>
      </c>
      <c r="DJ7" t="str">
        <f>MID($I7,1,FIND("-",$I7,1)-1)&amp;" | "&amp;$Y7&amp;" | "&amp;$AA7&amp;" | "&amp;DJ$2</f>
        <v>appliances |  |  | bullet2_de</v>
      </c>
      <c r="DK7" t="str">
        <f>MID($I7,1,FIND("-",$I7,1)-1)&amp;" | "&amp;$Y7&amp;" | "&amp;$AA7&amp;" | "&amp;DK$2</f>
        <v>appliances |  |  | bullet3_de</v>
      </c>
      <c r="DL7" t="str">
        <f>MID($I7,1,FIND("-",$I7,1)-1)&amp;" | "&amp;$Y7&amp;" | "&amp;$AA7&amp;" | "&amp;DL$2</f>
        <v>appliances |  |  | bullet4_de</v>
      </c>
      <c r="DM7" t="str">
        <f>MID($I7,1,FIND("-",$I7,1)-1)&amp;" | "&amp;$Y7&amp;" | "&amp;$AA7&amp;" | "&amp;DM$2</f>
        <v>appliances |  |  | bullet5_de</v>
      </c>
      <c r="DN7" t="str">
        <f>MID($I7,1,FIND("-",$I7,1)-1)&amp;" | "&amp;$Y7&amp;" | "&amp;$AA7&amp;" | "&amp;DN$2</f>
        <v>appliances |  |  | seo_title_de</v>
      </c>
      <c r="DO7" t="str">
        <f>MID($I7,1,FIND("-",$I7,1)-1)&amp;" | "&amp;$Y7&amp;" | "&amp;$AA7&amp;" | "&amp;DO$2</f>
        <v>appliances |  |  | seo_description_de</v>
      </c>
      <c r="DP7" t="str">
        <f t="shared" ref="DP7:FN12" si="0">MID($I7,1,FIND("-",$I7,1)-1)&amp;" | "&amp;$Y7&amp;" | "&amp;$AA7&amp;" | "&amp;DP$2</f>
        <v>appliances |  |  | seo_keywords_de</v>
      </c>
      <c r="DQ7" t="str">
        <f t="shared" si="0"/>
        <v>appliances |  |  | title_en</v>
      </c>
      <c r="DR7" t="str">
        <f t="shared" si="0"/>
        <v>appliances |  |  | description_en</v>
      </c>
      <c r="DS7" t="str">
        <f t="shared" si="0"/>
        <v>appliances |  |  | bullet1_en</v>
      </c>
      <c r="DT7" t="str">
        <f t="shared" si="0"/>
        <v>appliances |  |  | bullet2_en</v>
      </c>
      <c r="DU7" t="str">
        <f t="shared" si="0"/>
        <v>appliances |  |  | bullet3_en</v>
      </c>
      <c r="DV7" t="str">
        <f t="shared" si="0"/>
        <v>appliances |  |  | bullet4_en</v>
      </c>
      <c r="DW7" t="str">
        <f t="shared" si="0"/>
        <v>appliances |  |  | bullet5_en</v>
      </c>
      <c r="DX7" t="str">
        <f t="shared" si="0"/>
        <v>appliances |  |  | seo_title_en</v>
      </c>
      <c r="DY7" t="str">
        <f t="shared" si="0"/>
        <v>appliances |  |  | seo_description_en</v>
      </c>
      <c r="DZ7" t="str">
        <f t="shared" si="0"/>
        <v>appliances |  |  | seo_keywords_en</v>
      </c>
      <c r="EA7" t="str">
        <f t="shared" si="0"/>
        <v>appliances |  |  | title_tr</v>
      </c>
      <c r="EB7" t="str">
        <f t="shared" si="0"/>
        <v>appliances |  |  | description_tr</v>
      </c>
      <c r="EC7" t="str">
        <f t="shared" si="0"/>
        <v>appliances |  |  | bullet1_tr</v>
      </c>
      <c r="ED7" t="str">
        <f t="shared" si="0"/>
        <v>appliances |  |  | bullet2_tr</v>
      </c>
      <c r="EE7" t="str">
        <f t="shared" si="0"/>
        <v>appliances |  |  | bullet3_tr</v>
      </c>
      <c r="EF7" t="str">
        <f t="shared" si="0"/>
        <v>appliances |  |  | bullet4_tr</v>
      </c>
      <c r="EG7" t="str">
        <f t="shared" si="0"/>
        <v>appliances |  |  | bullet5_tr</v>
      </c>
      <c r="EH7" t="str">
        <f t="shared" si="0"/>
        <v>appliances |  |  | seo_title_tr</v>
      </c>
      <c r="EI7" t="str">
        <f t="shared" si="0"/>
        <v>appliances |  |  | seo_description_tr</v>
      </c>
      <c r="EJ7" t="str">
        <f t="shared" si="0"/>
        <v>appliances |  |  | seo_keywords_tr</v>
      </c>
      <c r="EK7" t="str">
        <f t="shared" si="0"/>
        <v>appliances |  |  | title_fr</v>
      </c>
      <c r="EL7" t="str">
        <f t="shared" si="0"/>
        <v>appliances |  |  | description_fr</v>
      </c>
      <c r="EM7" t="str">
        <f t="shared" si="0"/>
        <v>appliances |  |  | bullet1_fr</v>
      </c>
      <c r="EN7" t="str">
        <f t="shared" si="0"/>
        <v>appliances |  |  | bullet2_fr</v>
      </c>
      <c r="EO7" t="str">
        <f t="shared" si="0"/>
        <v>appliances |  |  | bullet3_fr</v>
      </c>
      <c r="EP7" t="str">
        <f t="shared" si="0"/>
        <v>appliances |  |  | bullet4_fr</v>
      </c>
      <c r="EQ7" t="str">
        <f t="shared" si="0"/>
        <v>appliances |  |  | bullet5_fr</v>
      </c>
      <c r="ER7" t="str">
        <f t="shared" si="0"/>
        <v>appliances |  |  | seo_title_fr</v>
      </c>
      <c r="ES7" t="str">
        <f t="shared" si="0"/>
        <v>appliances |  |  | seo_description_fr</v>
      </c>
      <c r="ET7" t="str">
        <f t="shared" si="0"/>
        <v>appliances |  |  | seo_keywords_fr</v>
      </c>
      <c r="EU7" t="str">
        <f t="shared" si="0"/>
        <v>appliances |  |  | title_it</v>
      </c>
      <c r="EV7" t="str">
        <f t="shared" si="0"/>
        <v>appliances |  |  | description_it</v>
      </c>
      <c r="EW7" t="str">
        <f t="shared" si="0"/>
        <v>appliances |  |  | bullet1_it</v>
      </c>
      <c r="EX7" t="str">
        <f t="shared" si="0"/>
        <v>appliances |  |  | bullet2_it</v>
      </c>
      <c r="EY7" t="str">
        <f t="shared" si="0"/>
        <v>appliances |  |  | bullet3_it</v>
      </c>
      <c r="EZ7" t="str">
        <f t="shared" si="0"/>
        <v>appliances |  |  | bullet4_it</v>
      </c>
      <c r="FA7" t="str">
        <f t="shared" si="0"/>
        <v>appliances |  |  | bullet5_it</v>
      </c>
      <c r="FB7" t="str">
        <f t="shared" si="0"/>
        <v>appliances |  |  | seo_title_it</v>
      </c>
      <c r="FC7" t="str">
        <f t="shared" si="0"/>
        <v>appliances |  |  | seo_description_it</v>
      </c>
      <c r="FD7" t="str">
        <f t="shared" si="0"/>
        <v>appliances |  |  | seo_keywords_it</v>
      </c>
      <c r="FE7" t="str">
        <f t="shared" si="0"/>
        <v>appliances |  |  | title_es</v>
      </c>
      <c r="FF7" t="str">
        <f t="shared" si="0"/>
        <v>appliances |  |  | description_es</v>
      </c>
      <c r="FG7" t="str">
        <f t="shared" si="0"/>
        <v>appliances |  |  | bullet1_es</v>
      </c>
      <c r="FH7" t="str">
        <f t="shared" si="0"/>
        <v>appliances |  |  | bullet2_es</v>
      </c>
      <c r="FI7" t="str">
        <f t="shared" si="0"/>
        <v>appliances |  |  | bullet3_es</v>
      </c>
      <c r="FJ7" t="str">
        <f t="shared" si="0"/>
        <v>appliances |  |  | bullet4_es</v>
      </c>
      <c r="FK7" t="str">
        <f t="shared" si="0"/>
        <v>appliances |  |  | bullet5_es</v>
      </c>
      <c r="FL7" t="str">
        <f t="shared" si="0"/>
        <v>appliances |  |  | seo_title_es</v>
      </c>
      <c r="FM7" t="str">
        <f t="shared" si="0"/>
        <v>appliances |  |  | seo_description_es</v>
      </c>
      <c r="FN7" t="str">
        <f t="shared" si="0"/>
        <v>appliances |  |  | seo_keywords_es</v>
      </c>
      <c r="FO7">
        <v>9.99</v>
      </c>
      <c r="FP7">
        <f>FO7+3</f>
        <v>12.99</v>
      </c>
      <c r="FQ7">
        <f>FO7-2</f>
        <v>7.99</v>
      </c>
    </row>
    <row r="8" spans="1:185" x14ac:dyDescent="0.35">
      <c r="A8" t="s">
        <v>372</v>
      </c>
      <c r="B8" t="str">
        <f t="shared" ref="B8:B22" si="1">"eco-parent1-160526-"&amp;Y8&amp;"-"&amp;AA8</f>
        <v>eco-parent1-160526-Schwarz-S</v>
      </c>
      <c r="C8" t="s">
        <v>419</v>
      </c>
      <c r="D8" t="s">
        <v>354</v>
      </c>
      <c r="E8">
        <f>E7+1</f>
        <v>1234567891</v>
      </c>
      <c r="F8">
        <v>10</v>
      </c>
      <c r="G8" t="s">
        <v>357</v>
      </c>
      <c r="H8" t="s">
        <v>416</v>
      </c>
      <c r="I8" t="s">
        <v>359</v>
      </c>
      <c r="J8" t="s">
        <v>360</v>
      </c>
      <c r="K8" t="s">
        <v>422</v>
      </c>
      <c r="L8" t="s">
        <v>425</v>
      </c>
      <c r="M8" t="str">
        <f t="shared" ref="M8:M57" si="2">K8&amp;"2"</f>
        <v>Ander2</v>
      </c>
      <c r="N8">
        <f t="shared" ref="N8:N23" si="3">N7+1</f>
        <v>102</v>
      </c>
      <c r="O8">
        <f>O7+1</f>
        <v>2</v>
      </c>
      <c r="P8">
        <f>O8+5</f>
        <v>7</v>
      </c>
      <c r="Q8">
        <f>P8+5</f>
        <v>12</v>
      </c>
      <c r="R8" s="18" t="s">
        <v>426</v>
      </c>
      <c r="S8" s="18" t="s">
        <v>427</v>
      </c>
      <c r="W8" s="18" t="s">
        <v>451</v>
      </c>
      <c r="Y8" t="s">
        <v>413</v>
      </c>
      <c r="AA8" t="s">
        <v>378</v>
      </c>
      <c r="AJ8" t="s">
        <v>364</v>
      </c>
      <c r="AK8">
        <f>AK7+1</f>
        <v>112</v>
      </c>
      <c r="AL8">
        <v>1000</v>
      </c>
      <c r="AM8">
        <f t="shared" ref="AM8:AN23" si="4">AM7+1</f>
        <v>1234568</v>
      </c>
      <c r="AN8">
        <f t="shared" si="4"/>
        <v>12346</v>
      </c>
      <c r="AO8" s="18" t="s">
        <v>454</v>
      </c>
      <c r="AP8" t="s">
        <v>455</v>
      </c>
      <c r="AQ8" s="18" t="s">
        <v>457</v>
      </c>
      <c r="AR8" t="s">
        <v>456</v>
      </c>
      <c r="AY8" t="s">
        <v>458</v>
      </c>
      <c r="AZ8" t="s">
        <v>463</v>
      </c>
      <c r="BA8" t="s">
        <v>613</v>
      </c>
      <c r="BB8" t="s">
        <v>464</v>
      </c>
      <c r="BC8" t="s">
        <v>459</v>
      </c>
      <c r="BD8" t="s">
        <v>465</v>
      </c>
      <c r="DG8" t="str">
        <f t="shared" ref="DG8:DL57" si="5">MID($I8,1,FIND("-",$I8,1)-1)&amp;" | "&amp;$Y8&amp;" | "&amp;$AA8&amp;" | "&amp;DG$2</f>
        <v>appliances | Schwarz | S | title_de</v>
      </c>
      <c r="DH8" t="str">
        <f t="shared" si="5"/>
        <v>appliances | Schwarz | S | description_de</v>
      </c>
      <c r="DI8" t="str">
        <f t="shared" si="5"/>
        <v>appliances | Schwarz | S | bullet1_de</v>
      </c>
      <c r="DJ8" t="str">
        <f t="shared" si="5"/>
        <v>appliances | Schwarz | S | bullet2_de</v>
      </c>
      <c r="DK8" t="str">
        <f t="shared" si="5"/>
        <v>appliances | Schwarz | S | bullet3_de</v>
      </c>
      <c r="DL8" t="str">
        <f t="shared" si="5"/>
        <v>appliances | Schwarz | S | bullet4_de</v>
      </c>
      <c r="DM8" t="str">
        <f t="shared" ref="DM8:EB57" si="6">MID($I8,1,FIND("-",$I8,1)-1)&amp;" | "&amp;$Y8&amp;" | "&amp;$AA8&amp;" | "&amp;DM$2</f>
        <v>appliances | Schwarz | S | bullet5_de</v>
      </c>
      <c r="DN8" t="str">
        <f t="shared" si="6"/>
        <v>appliances | Schwarz | S | seo_title_de</v>
      </c>
      <c r="DO8" t="str">
        <f t="shared" si="6"/>
        <v>appliances | Schwarz | S | seo_description_de</v>
      </c>
      <c r="DP8" t="str">
        <f t="shared" si="6"/>
        <v>appliances | Schwarz | S | seo_keywords_de</v>
      </c>
      <c r="DQ8" t="str">
        <f t="shared" si="6"/>
        <v>appliances | Schwarz | S | title_en</v>
      </c>
      <c r="DR8" t="str">
        <f t="shared" si="6"/>
        <v>appliances | Schwarz | S | description_en</v>
      </c>
      <c r="DS8" t="str">
        <f t="shared" si="6"/>
        <v>appliances | Schwarz | S | bullet1_en</v>
      </c>
      <c r="DT8" t="str">
        <f t="shared" si="6"/>
        <v>appliances | Schwarz | S | bullet2_en</v>
      </c>
      <c r="DU8" t="str">
        <f t="shared" si="6"/>
        <v>appliances | Schwarz | S | bullet3_en</v>
      </c>
      <c r="DV8" t="str">
        <f t="shared" si="6"/>
        <v>appliances | Schwarz | S | bullet4_en</v>
      </c>
      <c r="DW8" t="str">
        <f t="shared" si="6"/>
        <v>appliances | Schwarz | S | bullet5_en</v>
      </c>
      <c r="DX8" t="str">
        <f t="shared" si="6"/>
        <v>appliances | Schwarz | S | seo_title_en</v>
      </c>
      <c r="DY8" t="str">
        <f t="shared" si="6"/>
        <v>appliances | Schwarz | S | seo_description_en</v>
      </c>
      <c r="DZ8" t="str">
        <f t="shared" si="6"/>
        <v>appliances | Schwarz | S | seo_keywords_en</v>
      </c>
      <c r="EA8" t="str">
        <f t="shared" si="6"/>
        <v>appliances | Schwarz | S | title_tr</v>
      </c>
      <c r="EB8" t="str">
        <f t="shared" si="6"/>
        <v>appliances | Schwarz | S | description_tr</v>
      </c>
      <c r="EC8" t="str">
        <f t="shared" si="0"/>
        <v>appliances | Schwarz | S | bullet1_tr</v>
      </c>
      <c r="ED8" t="str">
        <f t="shared" si="0"/>
        <v>appliances | Schwarz | S | bullet2_tr</v>
      </c>
      <c r="EE8" t="str">
        <f t="shared" si="0"/>
        <v>appliances | Schwarz | S | bullet3_tr</v>
      </c>
      <c r="EF8" t="str">
        <f t="shared" si="0"/>
        <v>appliances | Schwarz | S | bullet4_tr</v>
      </c>
      <c r="EG8" t="str">
        <f t="shared" si="0"/>
        <v>appliances | Schwarz | S | bullet5_tr</v>
      </c>
      <c r="EH8" t="str">
        <f t="shared" si="0"/>
        <v>appliances | Schwarz | S | seo_title_tr</v>
      </c>
      <c r="EI8" t="str">
        <f t="shared" si="0"/>
        <v>appliances | Schwarz | S | seo_description_tr</v>
      </c>
      <c r="EJ8" t="str">
        <f t="shared" si="0"/>
        <v>appliances | Schwarz | S | seo_keywords_tr</v>
      </c>
      <c r="EK8" t="str">
        <f t="shared" si="0"/>
        <v>appliances | Schwarz | S | title_fr</v>
      </c>
      <c r="EL8" t="str">
        <f t="shared" si="0"/>
        <v>appliances | Schwarz | S | description_fr</v>
      </c>
      <c r="EM8" t="str">
        <f t="shared" si="0"/>
        <v>appliances | Schwarz | S | bullet1_fr</v>
      </c>
      <c r="EN8" t="str">
        <f t="shared" si="0"/>
        <v>appliances | Schwarz | S | bullet2_fr</v>
      </c>
      <c r="EO8" t="str">
        <f t="shared" si="0"/>
        <v>appliances | Schwarz | S | bullet3_fr</v>
      </c>
      <c r="EP8" t="str">
        <f t="shared" si="0"/>
        <v>appliances | Schwarz | S | bullet4_fr</v>
      </c>
      <c r="EQ8" t="str">
        <f t="shared" si="0"/>
        <v>appliances | Schwarz | S | bullet5_fr</v>
      </c>
      <c r="ER8" t="str">
        <f t="shared" si="0"/>
        <v>appliances | Schwarz | S | seo_title_fr</v>
      </c>
      <c r="ES8" t="str">
        <f t="shared" si="0"/>
        <v>appliances | Schwarz | S | seo_description_fr</v>
      </c>
      <c r="ET8" t="str">
        <f t="shared" si="0"/>
        <v>appliances | Schwarz | S | seo_keywords_fr</v>
      </c>
      <c r="EU8" t="str">
        <f t="shared" si="0"/>
        <v>appliances | Schwarz | S | title_it</v>
      </c>
      <c r="EV8" t="str">
        <f t="shared" si="0"/>
        <v>appliances | Schwarz | S | description_it</v>
      </c>
      <c r="EW8" t="str">
        <f t="shared" si="0"/>
        <v>appliances | Schwarz | S | bullet1_it</v>
      </c>
      <c r="EX8" t="str">
        <f t="shared" si="0"/>
        <v>appliances | Schwarz | S | bullet2_it</v>
      </c>
      <c r="EY8" t="str">
        <f t="shared" si="0"/>
        <v>appliances | Schwarz | S | bullet3_it</v>
      </c>
      <c r="EZ8" t="str">
        <f t="shared" si="0"/>
        <v>appliances | Schwarz | S | bullet4_it</v>
      </c>
      <c r="FA8" t="str">
        <f t="shared" si="0"/>
        <v>appliances | Schwarz | S | bullet5_it</v>
      </c>
      <c r="FB8" t="str">
        <f t="shared" si="0"/>
        <v>appliances | Schwarz | S | seo_title_it</v>
      </c>
      <c r="FC8" t="str">
        <f t="shared" si="0"/>
        <v>appliances | Schwarz | S | seo_description_it</v>
      </c>
      <c r="FD8" t="str">
        <f t="shared" si="0"/>
        <v>appliances | Schwarz | S | seo_keywords_it</v>
      </c>
      <c r="FE8" t="str">
        <f t="shared" si="0"/>
        <v>appliances | Schwarz | S | title_es</v>
      </c>
      <c r="FF8" t="str">
        <f t="shared" si="0"/>
        <v>appliances | Schwarz | S | description_es</v>
      </c>
      <c r="FG8" t="str">
        <f t="shared" si="0"/>
        <v>appliances | Schwarz | S | bullet1_es</v>
      </c>
      <c r="FH8" t="str">
        <f t="shared" si="0"/>
        <v>appliances | Schwarz | S | bullet2_es</v>
      </c>
      <c r="FI8" t="str">
        <f t="shared" si="0"/>
        <v>appliances | Schwarz | S | bullet3_es</v>
      </c>
      <c r="FJ8" t="str">
        <f t="shared" si="0"/>
        <v>appliances | Schwarz | S | bullet4_es</v>
      </c>
      <c r="FK8" t="str">
        <f t="shared" si="0"/>
        <v>appliances | Schwarz | S | bullet5_es</v>
      </c>
      <c r="FL8" t="str">
        <f t="shared" si="0"/>
        <v>appliances | Schwarz | S | seo_title_es</v>
      </c>
      <c r="FM8" t="str">
        <f t="shared" si="0"/>
        <v>appliances | Schwarz | S | seo_description_es</v>
      </c>
      <c r="FN8" t="str">
        <f t="shared" si="0"/>
        <v>appliances | Schwarz | S | seo_keywords_es</v>
      </c>
      <c r="FO8">
        <f>FO7+1</f>
        <v>10.99</v>
      </c>
      <c r="FP8">
        <f t="shared" ref="FP8:FP57" si="7">FO8+3</f>
        <v>13.99</v>
      </c>
      <c r="FQ8">
        <f t="shared" ref="FQ8:FQ57" si="8">FO8-2</f>
        <v>8.99</v>
      </c>
    </row>
    <row r="9" spans="1:185" x14ac:dyDescent="0.35">
      <c r="A9" t="s">
        <v>372</v>
      </c>
      <c r="B9" t="str">
        <f t="shared" si="1"/>
        <v>eco-parent1-160526-Schwarz-M</v>
      </c>
      <c r="C9" t="s">
        <v>419</v>
      </c>
      <c r="D9" t="s">
        <v>354</v>
      </c>
      <c r="E9">
        <f t="shared" ref="E9:E23" si="9">E8+1</f>
        <v>1234567892</v>
      </c>
      <c r="F9">
        <v>20</v>
      </c>
      <c r="G9" t="s">
        <v>357</v>
      </c>
      <c r="H9" t="s">
        <v>416</v>
      </c>
      <c r="I9" t="s">
        <v>359</v>
      </c>
      <c r="J9" t="s">
        <v>360</v>
      </c>
      <c r="K9" t="s">
        <v>422</v>
      </c>
      <c r="L9" t="s">
        <v>425</v>
      </c>
      <c r="M9" t="str">
        <f t="shared" si="2"/>
        <v>Ander2</v>
      </c>
      <c r="N9">
        <f t="shared" si="3"/>
        <v>103</v>
      </c>
      <c r="O9">
        <f t="shared" ref="O9:O57" si="10">O8+1</f>
        <v>3</v>
      </c>
      <c r="P9">
        <f t="shared" ref="P9:Q9" si="11">O9+5</f>
        <v>8</v>
      </c>
      <c r="Q9">
        <f t="shared" si="11"/>
        <v>13</v>
      </c>
      <c r="R9" s="18" t="s">
        <v>426</v>
      </c>
      <c r="S9" s="18" t="s">
        <v>427</v>
      </c>
      <c r="W9" s="18" t="s">
        <v>451</v>
      </c>
      <c r="Y9" t="s">
        <v>413</v>
      </c>
      <c r="AA9" t="s">
        <v>381</v>
      </c>
      <c r="AJ9" t="s">
        <v>364</v>
      </c>
      <c r="AK9">
        <f t="shared" ref="AK9:AK23" si="12">AK8+1</f>
        <v>113</v>
      </c>
      <c r="AL9">
        <v>1000</v>
      </c>
      <c r="AM9">
        <f t="shared" si="4"/>
        <v>1234569</v>
      </c>
      <c r="AN9">
        <f t="shared" si="4"/>
        <v>12347</v>
      </c>
      <c r="AO9" s="18" t="s">
        <v>454</v>
      </c>
      <c r="AP9" t="s">
        <v>455</v>
      </c>
      <c r="AQ9" s="18" t="s">
        <v>457</v>
      </c>
      <c r="AR9" t="s">
        <v>456</v>
      </c>
      <c r="AY9" t="s">
        <v>458</v>
      </c>
      <c r="AZ9" t="s">
        <v>466</v>
      </c>
      <c r="BA9" t="s">
        <v>613</v>
      </c>
      <c r="BB9" t="s">
        <v>467</v>
      </c>
      <c r="BC9" t="s">
        <v>459</v>
      </c>
      <c r="BD9" t="s">
        <v>468</v>
      </c>
      <c r="DG9" t="str">
        <f t="shared" si="5"/>
        <v>appliances | Schwarz | M | title_de</v>
      </c>
      <c r="DH9" t="str">
        <f t="shared" si="5"/>
        <v>appliances | Schwarz | M | description_de</v>
      </c>
      <c r="DI9" t="str">
        <f t="shared" si="5"/>
        <v>appliances | Schwarz | M | bullet1_de</v>
      </c>
      <c r="DJ9" t="str">
        <f t="shared" si="5"/>
        <v>appliances | Schwarz | M | bullet2_de</v>
      </c>
      <c r="DK9" t="str">
        <f t="shared" si="5"/>
        <v>appliances | Schwarz | M | bullet3_de</v>
      </c>
      <c r="DL9" t="str">
        <f t="shared" si="5"/>
        <v>appliances | Schwarz | M | bullet4_de</v>
      </c>
      <c r="DM9" t="str">
        <f t="shared" si="6"/>
        <v>appliances | Schwarz | M | bullet5_de</v>
      </c>
      <c r="DN9" t="str">
        <f t="shared" si="6"/>
        <v>appliances | Schwarz | M | seo_title_de</v>
      </c>
      <c r="DO9" t="str">
        <f t="shared" si="6"/>
        <v>appliances | Schwarz | M | seo_description_de</v>
      </c>
      <c r="DP9" t="str">
        <f t="shared" si="0"/>
        <v>appliances | Schwarz | M | seo_keywords_de</v>
      </c>
      <c r="DQ9" t="str">
        <f t="shared" si="0"/>
        <v>appliances | Schwarz | M | title_en</v>
      </c>
      <c r="DR9" t="str">
        <f t="shared" si="0"/>
        <v>appliances | Schwarz | M | description_en</v>
      </c>
      <c r="DS9" t="str">
        <f t="shared" si="0"/>
        <v>appliances | Schwarz | M | bullet1_en</v>
      </c>
      <c r="DT9" t="str">
        <f t="shared" si="0"/>
        <v>appliances | Schwarz | M | bullet2_en</v>
      </c>
      <c r="DU9" t="str">
        <f t="shared" si="0"/>
        <v>appliances | Schwarz | M | bullet3_en</v>
      </c>
      <c r="DV9" t="str">
        <f t="shared" si="0"/>
        <v>appliances | Schwarz | M | bullet4_en</v>
      </c>
      <c r="DW9" t="str">
        <f t="shared" si="0"/>
        <v>appliances | Schwarz | M | bullet5_en</v>
      </c>
      <c r="DX9" t="str">
        <f t="shared" si="0"/>
        <v>appliances | Schwarz | M | seo_title_en</v>
      </c>
      <c r="DY9" t="str">
        <f t="shared" si="0"/>
        <v>appliances | Schwarz | M | seo_description_en</v>
      </c>
      <c r="DZ9" t="str">
        <f t="shared" si="0"/>
        <v>appliances | Schwarz | M | seo_keywords_en</v>
      </c>
      <c r="EA9" t="str">
        <f t="shared" si="0"/>
        <v>appliances | Schwarz | M | title_tr</v>
      </c>
      <c r="EB9" t="str">
        <f t="shared" si="0"/>
        <v>appliances | Schwarz | M | description_tr</v>
      </c>
      <c r="EC9" t="str">
        <f t="shared" si="0"/>
        <v>appliances | Schwarz | M | bullet1_tr</v>
      </c>
      <c r="ED9" t="str">
        <f t="shared" si="0"/>
        <v>appliances | Schwarz | M | bullet2_tr</v>
      </c>
      <c r="EE9" t="str">
        <f t="shared" si="0"/>
        <v>appliances | Schwarz | M | bullet3_tr</v>
      </c>
      <c r="EF9" t="str">
        <f t="shared" si="0"/>
        <v>appliances | Schwarz | M | bullet4_tr</v>
      </c>
      <c r="EG9" t="str">
        <f t="shared" si="0"/>
        <v>appliances | Schwarz | M | bullet5_tr</v>
      </c>
      <c r="EH9" t="str">
        <f t="shared" si="0"/>
        <v>appliances | Schwarz | M | seo_title_tr</v>
      </c>
      <c r="EI9" t="str">
        <f t="shared" si="0"/>
        <v>appliances | Schwarz | M | seo_description_tr</v>
      </c>
      <c r="EJ9" t="str">
        <f t="shared" si="0"/>
        <v>appliances | Schwarz | M | seo_keywords_tr</v>
      </c>
      <c r="EK9" t="str">
        <f t="shared" si="0"/>
        <v>appliances | Schwarz | M | title_fr</v>
      </c>
      <c r="EL9" t="str">
        <f t="shared" si="0"/>
        <v>appliances | Schwarz | M | description_fr</v>
      </c>
      <c r="EM9" t="str">
        <f t="shared" si="0"/>
        <v>appliances | Schwarz | M | bullet1_fr</v>
      </c>
      <c r="EN9" t="str">
        <f t="shared" si="0"/>
        <v>appliances | Schwarz | M | bullet2_fr</v>
      </c>
      <c r="EO9" t="str">
        <f t="shared" si="0"/>
        <v>appliances | Schwarz | M | bullet3_fr</v>
      </c>
      <c r="EP9" t="str">
        <f t="shared" si="0"/>
        <v>appliances | Schwarz | M | bullet4_fr</v>
      </c>
      <c r="EQ9" t="str">
        <f t="shared" si="0"/>
        <v>appliances | Schwarz | M | bullet5_fr</v>
      </c>
      <c r="ER9" t="str">
        <f t="shared" si="0"/>
        <v>appliances | Schwarz | M | seo_title_fr</v>
      </c>
      <c r="ES9" t="str">
        <f t="shared" si="0"/>
        <v>appliances | Schwarz | M | seo_description_fr</v>
      </c>
      <c r="ET9" t="str">
        <f t="shared" si="0"/>
        <v>appliances | Schwarz | M | seo_keywords_fr</v>
      </c>
      <c r="EU9" t="str">
        <f t="shared" si="0"/>
        <v>appliances | Schwarz | M | title_it</v>
      </c>
      <c r="EV9" t="str">
        <f t="shared" si="0"/>
        <v>appliances | Schwarz | M | description_it</v>
      </c>
      <c r="EW9" t="str">
        <f t="shared" si="0"/>
        <v>appliances | Schwarz | M | bullet1_it</v>
      </c>
      <c r="EX9" t="str">
        <f t="shared" si="0"/>
        <v>appliances | Schwarz | M | bullet2_it</v>
      </c>
      <c r="EY9" t="str">
        <f t="shared" si="0"/>
        <v>appliances | Schwarz | M | bullet3_it</v>
      </c>
      <c r="EZ9" t="str">
        <f t="shared" si="0"/>
        <v>appliances | Schwarz | M | bullet4_it</v>
      </c>
      <c r="FA9" t="str">
        <f t="shared" si="0"/>
        <v>appliances | Schwarz | M | bullet5_it</v>
      </c>
      <c r="FB9" t="str">
        <f t="shared" si="0"/>
        <v>appliances | Schwarz | M | seo_title_it</v>
      </c>
      <c r="FC9" t="str">
        <f t="shared" si="0"/>
        <v>appliances | Schwarz | M | seo_description_it</v>
      </c>
      <c r="FD9" t="str">
        <f t="shared" si="0"/>
        <v>appliances | Schwarz | M | seo_keywords_it</v>
      </c>
      <c r="FE9" t="str">
        <f t="shared" si="0"/>
        <v>appliances | Schwarz | M | title_es</v>
      </c>
      <c r="FF9" t="str">
        <f t="shared" si="0"/>
        <v>appliances | Schwarz | M | description_es</v>
      </c>
      <c r="FG9" t="str">
        <f t="shared" si="0"/>
        <v>appliances | Schwarz | M | bullet1_es</v>
      </c>
      <c r="FH9" t="str">
        <f t="shared" si="0"/>
        <v>appliances | Schwarz | M | bullet2_es</v>
      </c>
      <c r="FI9" t="str">
        <f t="shared" si="0"/>
        <v>appliances | Schwarz | M | bullet3_es</v>
      </c>
      <c r="FJ9" t="str">
        <f t="shared" si="0"/>
        <v>appliances | Schwarz | M | bullet4_es</v>
      </c>
      <c r="FK9" t="str">
        <f t="shared" si="0"/>
        <v>appliances | Schwarz | M | bullet5_es</v>
      </c>
      <c r="FL9" t="str">
        <f t="shared" si="0"/>
        <v>appliances | Schwarz | M | seo_title_es</v>
      </c>
      <c r="FM9" t="str">
        <f t="shared" si="0"/>
        <v>appliances | Schwarz | M | seo_description_es</v>
      </c>
      <c r="FN9" t="str">
        <f t="shared" si="0"/>
        <v>appliances | Schwarz | M | seo_keywords_es</v>
      </c>
      <c r="FO9">
        <f t="shared" ref="FO9:FO57" si="13">FO8+1</f>
        <v>11.99</v>
      </c>
      <c r="FP9">
        <f t="shared" si="7"/>
        <v>14.99</v>
      </c>
      <c r="FQ9">
        <f t="shared" si="8"/>
        <v>9.99</v>
      </c>
    </row>
    <row r="10" spans="1:185" x14ac:dyDescent="0.35">
      <c r="A10" t="s">
        <v>372</v>
      </c>
      <c r="B10" t="str">
        <f t="shared" si="1"/>
        <v>eco-parent1-160526-Schwarz-L</v>
      </c>
      <c r="C10" t="s">
        <v>419</v>
      </c>
      <c r="D10" t="s">
        <v>354</v>
      </c>
      <c r="E10">
        <f t="shared" si="9"/>
        <v>1234567893</v>
      </c>
      <c r="F10">
        <f>F9+10</f>
        <v>30</v>
      </c>
      <c r="G10" t="s">
        <v>357</v>
      </c>
      <c r="H10" t="s">
        <v>416</v>
      </c>
      <c r="I10" t="s">
        <v>359</v>
      </c>
      <c r="J10" t="s">
        <v>360</v>
      </c>
      <c r="K10" t="s">
        <v>422</v>
      </c>
      <c r="L10" t="s">
        <v>425</v>
      </c>
      <c r="M10" t="str">
        <f t="shared" si="2"/>
        <v>Ander2</v>
      </c>
      <c r="N10">
        <f t="shared" si="3"/>
        <v>104</v>
      </c>
      <c r="O10">
        <f t="shared" si="10"/>
        <v>4</v>
      </c>
      <c r="P10">
        <f t="shared" ref="P10:Q10" si="14">O10+5</f>
        <v>9</v>
      </c>
      <c r="Q10">
        <f t="shared" si="14"/>
        <v>14</v>
      </c>
      <c r="R10" s="18" t="s">
        <v>426</v>
      </c>
      <c r="S10" s="18" t="s">
        <v>427</v>
      </c>
      <c r="W10" s="18" t="s">
        <v>451</v>
      </c>
      <c r="Y10" t="s">
        <v>413</v>
      </c>
      <c r="AA10" t="s">
        <v>406</v>
      </c>
      <c r="AJ10" t="s">
        <v>364</v>
      </c>
      <c r="AK10">
        <f t="shared" si="12"/>
        <v>114</v>
      </c>
      <c r="AL10">
        <v>1000</v>
      </c>
      <c r="AM10">
        <f t="shared" si="4"/>
        <v>1234570</v>
      </c>
      <c r="AN10">
        <f t="shared" si="4"/>
        <v>12348</v>
      </c>
      <c r="AO10" s="18" t="s">
        <v>454</v>
      </c>
      <c r="AP10" t="s">
        <v>455</v>
      </c>
      <c r="AQ10" s="18" t="s">
        <v>457</v>
      </c>
      <c r="AR10" t="s">
        <v>456</v>
      </c>
      <c r="AY10" t="s">
        <v>458</v>
      </c>
      <c r="AZ10" t="s">
        <v>469</v>
      </c>
      <c r="BA10" t="s">
        <v>613</v>
      </c>
      <c r="BB10" t="s">
        <v>470</v>
      </c>
      <c r="BC10" t="s">
        <v>459</v>
      </c>
      <c r="BD10" t="s">
        <v>471</v>
      </c>
      <c r="DG10" t="str">
        <f t="shared" si="5"/>
        <v>appliances | Schwarz | L | title_de</v>
      </c>
      <c r="DH10" t="str">
        <f t="shared" si="5"/>
        <v>appliances | Schwarz | L | description_de</v>
      </c>
      <c r="DI10" t="str">
        <f t="shared" si="5"/>
        <v>appliances | Schwarz | L | bullet1_de</v>
      </c>
      <c r="DJ10" t="str">
        <f t="shared" si="5"/>
        <v>appliances | Schwarz | L | bullet2_de</v>
      </c>
      <c r="DK10" t="str">
        <f t="shared" si="5"/>
        <v>appliances | Schwarz | L | bullet3_de</v>
      </c>
      <c r="DL10" t="str">
        <f t="shared" si="5"/>
        <v>appliances | Schwarz | L | bullet4_de</v>
      </c>
      <c r="DM10" t="str">
        <f t="shared" si="6"/>
        <v>appliances | Schwarz | L | bullet5_de</v>
      </c>
      <c r="DN10" t="str">
        <f t="shared" si="6"/>
        <v>appliances | Schwarz | L | seo_title_de</v>
      </c>
      <c r="DO10" t="str">
        <f t="shared" si="6"/>
        <v>appliances | Schwarz | L | seo_description_de</v>
      </c>
      <c r="DP10" t="str">
        <f t="shared" si="0"/>
        <v>appliances | Schwarz | L | seo_keywords_de</v>
      </c>
      <c r="DQ10" t="str">
        <f t="shared" si="0"/>
        <v>appliances | Schwarz | L | title_en</v>
      </c>
      <c r="DR10" t="str">
        <f t="shared" si="0"/>
        <v>appliances | Schwarz | L | description_en</v>
      </c>
      <c r="DS10" t="str">
        <f t="shared" si="0"/>
        <v>appliances | Schwarz | L | bullet1_en</v>
      </c>
      <c r="DT10" t="str">
        <f t="shared" si="0"/>
        <v>appliances | Schwarz | L | bullet2_en</v>
      </c>
      <c r="DU10" t="str">
        <f t="shared" si="0"/>
        <v>appliances | Schwarz | L | bullet3_en</v>
      </c>
      <c r="DV10" t="str">
        <f t="shared" si="0"/>
        <v>appliances | Schwarz | L | bullet4_en</v>
      </c>
      <c r="DW10" t="str">
        <f t="shared" si="0"/>
        <v>appliances | Schwarz | L | bullet5_en</v>
      </c>
      <c r="DX10" t="str">
        <f t="shared" si="0"/>
        <v>appliances | Schwarz | L | seo_title_en</v>
      </c>
      <c r="DY10" t="str">
        <f t="shared" si="0"/>
        <v>appliances | Schwarz | L | seo_description_en</v>
      </c>
      <c r="DZ10" t="str">
        <f t="shared" si="0"/>
        <v>appliances | Schwarz | L | seo_keywords_en</v>
      </c>
      <c r="EA10" t="str">
        <f t="shared" si="0"/>
        <v>appliances | Schwarz | L | title_tr</v>
      </c>
      <c r="EB10" t="str">
        <f t="shared" si="0"/>
        <v>appliances | Schwarz | L | description_tr</v>
      </c>
      <c r="EC10" t="str">
        <f t="shared" si="0"/>
        <v>appliances | Schwarz | L | bullet1_tr</v>
      </c>
      <c r="ED10" t="str">
        <f t="shared" si="0"/>
        <v>appliances | Schwarz | L | bullet2_tr</v>
      </c>
      <c r="EE10" t="str">
        <f t="shared" si="0"/>
        <v>appliances | Schwarz | L | bullet3_tr</v>
      </c>
      <c r="EF10" t="str">
        <f t="shared" si="0"/>
        <v>appliances | Schwarz | L | bullet4_tr</v>
      </c>
      <c r="EG10" t="str">
        <f t="shared" si="0"/>
        <v>appliances | Schwarz | L | bullet5_tr</v>
      </c>
      <c r="EH10" t="str">
        <f t="shared" si="0"/>
        <v>appliances | Schwarz | L | seo_title_tr</v>
      </c>
      <c r="EI10" t="str">
        <f t="shared" si="0"/>
        <v>appliances | Schwarz | L | seo_description_tr</v>
      </c>
      <c r="EJ10" t="str">
        <f t="shared" si="0"/>
        <v>appliances | Schwarz | L | seo_keywords_tr</v>
      </c>
      <c r="EK10" t="str">
        <f t="shared" si="0"/>
        <v>appliances | Schwarz | L | title_fr</v>
      </c>
      <c r="EL10" t="str">
        <f t="shared" si="0"/>
        <v>appliances | Schwarz | L | description_fr</v>
      </c>
      <c r="EM10" t="str">
        <f t="shared" si="0"/>
        <v>appliances | Schwarz | L | bullet1_fr</v>
      </c>
      <c r="EN10" t="str">
        <f t="shared" si="0"/>
        <v>appliances | Schwarz | L | bullet2_fr</v>
      </c>
      <c r="EO10" t="str">
        <f t="shared" si="0"/>
        <v>appliances | Schwarz | L | bullet3_fr</v>
      </c>
      <c r="EP10" t="str">
        <f t="shared" si="0"/>
        <v>appliances | Schwarz | L | bullet4_fr</v>
      </c>
      <c r="EQ10" t="str">
        <f t="shared" si="0"/>
        <v>appliances | Schwarz | L | bullet5_fr</v>
      </c>
      <c r="ER10" t="str">
        <f t="shared" si="0"/>
        <v>appliances | Schwarz | L | seo_title_fr</v>
      </c>
      <c r="ES10" t="str">
        <f t="shared" si="0"/>
        <v>appliances | Schwarz | L | seo_description_fr</v>
      </c>
      <c r="ET10" t="str">
        <f t="shared" si="0"/>
        <v>appliances | Schwarz | L | seo_keywords_fr</v>
      </c>
      <c r="EU10" t="str">
        <f t="shared" si="0"/>
        <v>appliances | Schwarz | L | title_it</v>
      </c>
      <c r="EV10" t="str">
        <f t="shared" si="0"/>
        <v>appliances | Schwarz | L | description_it</v>
      </c>
      <c r="EW10" t="str">
        <f t="shared" si="0"/>
        <v>appliances | Schwarz | L | bullet1_it</v>
      </c>
      <c r="EX10" t="str">
        <f t="shared" si="0"/>
        <v>appliances | Schwarz | L | bullet2_it</v>
      </c>
      <c r="EY10" t="str">
        <f t="shared" si="0"/>
        <v>appliances | Schwarz | L | bullet3_it</v>
      </c>
      <c r="EZ10" t="str">
        <f t="shared" si="0"/>
        <v>appliances | Schwarz | L | bullet4_it</v>
      </c>
      <c r="FA10" t="str">
        <f t="shared" si="0"/>
        <v>appliances | Schwarz | L | bullet5_it</v>
      </c>
      <c r="FB10" t="str">
        <f t="shared" si="0"/>
        <v>appliances | Schwarz | L | seo_title_it</v>
      </c>
      <c r="FC10" t="str">
        <f t="shared" si="0"/>
        <v>appliances | Schwarz | L | seo_description_it</v>
      </c>
      <c r="FD10" t="str">
        <f t="shared" si="0"/>
        <v>appliances | Schwarz | L | seo_keywords_it</v>
      </c>
      <c r="FE10" t="str">
        <f t="shared" si="0"/>
        <v>appliances | Schwarz | L | title_es</v>
      </c>
      <c r="FF10" t="str">
        <f t="shared" si="0"/>
        <v>appliances | Schwarz | L | description_es</v>
      </c>
      <c r="FG10" t="str">
        <f t="shared" si="0"/>
        <v>appliances | Schwarz | L | bullet1_es</v>
      </c>
      <c r="FH10" t="str">
        <f t="shared" si="0"/>
        <v>appliances | Schwarz | L | bullet2_es</v>
      </c>
      <c r="FI10" t="str">
        <f t="shared" si="0"/>
        <v>appliances | Schwarz | L | bullet3_es</v>
      </c>
      <c r="FJ10" t="str">
        <f t="shared" si="0"/>
        <v>appliances | Schwarz | L | bullet4_es</v>
      </c>
      <c r="FK10" t="str">
        <f t="shared" si="0"/>
        <v>appliances | Schwarz | L | bullet5_es</v>
      </c>
      <c r="FL10" t="str">
        <f t="shared" si="0"/>
        <v>appliances | Schwarz | L | seo_title_es</v>
      </c>
      <c r="FM10" t="str">
        <f t="shared" si="0"/>
        <v>appliances | Schwarz | L | seo_description_es</v>
      </c>
      <c r="FN10" t="str">
        <f t="shared" si="0"/>
        <v>appliances | Schwarz | L | seo_keywords_es</v>
      </c>
      <c r="FO10">
        <f t="shared" si="13"/>
        <v>12.99</v>
      </c>
      <c r="FP10">
        <f t="shared" si="7"/>
        <v>15.99</v>
      </c>
      <c r="FQ10">
        <f t="shared" si="8"/>
        <v>10.99</v>
      </c>
    </row>
    <row r="11" spans="1:185" x14ac:dyDescent="0.35">
      <c r="A11" t="s">
        <v>372</v>
      </c>
      <c r="B11" t="str">
        <f t="shared" si="1"/>
        <v>eco-parent1-160526-Schwarz-XL</v>
      </c>
      <c r="C11" t="s">
        <v>419</v>
      </c>
      <c r="D11" t="s">
        <v>354</v>
      </c>
      <c r="E11">
        <f t="shared" si="9"/>
        <v>1234567894</v>
      </c>
      <c r="F11">
        <f t="shared" ref="F11:F23" si="15">F10+10</f>
        <v>40</v>
      </c>
      <c r="G11" t="s">
        <v>357</v>
      </c>
      <c r="H11" t="s">
        <v>416</v>
      </c>
      <c r="I11" t="s">
        <v>359</v>
      </c>
      <c r="J11" t="s">
        <v>360</v>
      </c>
      <c r="K11" t="s">
        <v>422</v>
      </c>
      <c r="L11" t="s">
        <v>425</v>
      </c>
      <c r="M11" t="str">
        <f t="shared" si="2"/>
        <v>Ander2</v>
      </c>
      <c r="N11">
        <f t="shared" si="3"/>
        <v>105</v>
      </c>
      <c r="O11">
        <f t="shared" si="10"/>
        <v>5</v>
      </c>
      <c r="P11">
        <f t="shared" ref="P11:Q11" si="16">O11+5</f>
        <v>10</v>
      </c>
      <c r="Q11">
        <f t="shared" si="16"/>
        <v>15</v>
      </c>
      <c r="R11" s="18" t="s">
        <v>426</v>
      </c>
      <c r="S11" s="18" t="s">
        <v>427</v>
      </c>
      <c r="W11" s="18" t="s">
        <v>451</v>
      </c>
      <c r="Y11" t="s">
        <v>413</v>
      </c>
      <c r="AA11" t="s">
        <v>412</v>
      </c>
      <c r="AJ11" t="s">
        <v>364</v>
      </c>
      <c r="AK11">
        <f t="shared" si="12"/>
        <v>115</v>
      </c>
      <c r="AL11">
        <v>1000</v>
      </c>
      <c r="AM11">
        <f t="shared" si="4"/>
        <v>1234571</v>
      </c>
      <c r="AN11">
        <f t="shared" si="4"/>
        <v>12349</v>
      </c>
      <c r="AO11" s="18" t="s">
        <v>454</v>
      </c>
      <c r="AP11" t="s">
        <v>455</v>
      </c>
      <c r="AQ11" s="18" t="s">
        <v>457</v>
      </c>
      <c r="AR11" t="s">
        <v>456</v>
      </c>
      <c r="AY11" t="s">
        <v>458</v>
      </c>
      <c r="AZ11" t="s">
        <v>472</v>
      </c>
      <c r="BA11" t="s">
        <v>613</v>
      </c>
      <c r="BB11" t="s">
        <v>473</v>
      </c>
      <c r="BC11" t="s">
        <v>459</v>
      </c>
      <c r="BD11" t="s">
        <v>474</v>
      </c>
      <c r="DG11" t="str">
        <f t="shared" si="5"/>
        <v>appliances | Schwarz | XL | title_de</v>
      </c>
      <c r="DH11" t="str">
        <f t="shared" si="5"/>
        <v>appliances | Schwarz | XL | description_de</v>
      </c>
      <c r="DI11" t="str">
        <f t="shared" si="5"/>
        <v>appliances | Schwarz | XL | bullet1_de</v>
      </c>
      <c r="DJ11" t="str">
        <f t="shared" si="5"/>
        <v>appliances | Schwarz | XL | bullet2_de</v>
      </c>
      <c r="DK11" t="str">
        <f t="shared" si="5"/>
        <v>appliances | Schwarz | XL | bullet3_de</v>
      </c>
      <c r="DL11" t="str">
        <f t="shared" si="5"/>
        <v>appliances | Schwarz | XL | bullet4_de</v>
      </c>
      <c r="DM11" t="str">
        <f t="shared" si="6"/>
        <v>appliances | Schwarz | XL | bullet5_de</v>
      </c>
      <c r="DN11" t="str">
        <f t="shared" si="6"/>
        <v>appliances | Schwarz | XL | seo_title_de</v>
      </c>
      <c r="DO11" t="str">
        <f t="shared" si="6"/>
        <v>appliances | Schwarz | XL | seo_description_de</v>
      </c>
      <c r="DP11" t="str">
        <f t="shared" si="0"/>
        <v>appliances | Schwarz | XL | seo_keywords_de</v>
      </c>
      <c r="DQ11" t="str">
        <f t="shared" si="0"/>
        <v>appliances | Schwarz | XL | title_en</v>
      </c>
      <c r="DR11" t="str">
        <f t="shared" si="0"/>
        <v>appliances | Schwarz | XL | description_en</v>
      </c>
      <c r="DS11" t="str">
        <f t="shared" si="0"/>
        <v>appliances | Schwarz | XL | bullet1_en</v>
      </c>
      <c r="DT11" t="str">
        <f t="shared" si="0"/>
        <v>appliances | Schwarz | XL | bullet2_en</v>
      </c>
      <c r="DU11" t="str">
        <f t="shared" si="0"/>
        <v>appliances | Schwarz | XL | bullet3_en</v>
      </c>
      <c r="DV11" t="str">
        <f t="shared" si="0"/>
        <v>appliances | Schwarz | XL | bullet4_en</v>
      </c>
      <c r="DW11" t="str">
        <f t="shared" si="0"/>
        <v>appliances | Schwarz | XL | bullet5_en</v>
      </c>
      <c r="DX11" t="str">
        <f t="shared" si="0"/>
        <v>appliances | Schwarz | XL | seo_title_en</v>
      </c>
      <c r="DY11" t="str">
        <f t="shared" si="0"/>
        <v>appliances | Schwarz | XL | seo_description_en</v>
      </c>
      <c r="DZ11" t="str">
        <f t="shared" si="0"/>
        <v>appliances | Schwarz | XL | seo_keywords_en</v>
      </c>
      <c r="EA11" t="str">
        <f t="shared" si="0"/>
        <v>appliances | Schwarz | XL | title_tr</v>
      </c>
      <c r="EB11" t="str">
        <f t="shared" si="0"/>
        <v>appliances | Schwarz | XL | description_tr</v>
      </c>
      <c r="EC11" t="str">
        <f t="shared" si="0"/>
        <v>appliances | Schwarz | XL | bullet1_tr</v>
      </c>
      <c r="ED11" t="str">
        <f t="shared" si="0"/>
        <v>appliances | Schwarz | XL | bullet2_tr</v>
      </c>
      <c r="EE11" t="str">
        <f t="shared" si="0"/>
        <v>appliances | Schwarz | XL | bullet3_tr</v>
      </c>
      <c r="EF11" t="str">
        <f t="shared" si="0"/>
        <v>appliances | Schwarz | XL | bullet4_tr</v>
      </c>
      <c r="EG11" t="str">
        <f t="shared" si="0"/>
        <v>appliances | Schwarz | XL | bullet5_tr</v>
      </c>
      <c r="EH11" t="str">
        <f t="shared" si="0"/>
        <v>appliances | Schwarz | XL | seo_title_tr</v>
      </c>
      <c r="EI11" t="str">
        <f t="shared" si="0"/>
        <v>appliances | Schwarz | XL | seo_description_tr</v>
      </c>
      <c r="EJ11" t="str">
        <f t="shared" si="0"/>
        <v>appliances | Schwarz | XL | seo_keywords_tr</v>
      </c>
      <c r="EK11" t="str">
        <f t="shared" si="0"/>
        <v>appliances | Schwarz | XL | title_fr</v>
      </c>
      <c r="EL11" t="str">
        <f t="shared" si="0"/>
        <v>appliances | Schwarz | XL | description_fr</v>
      </c>
      <c r="EM11" t="str">
        <f t="shared" si="0"/>
        <v>appliances | Schwarz | XL | bullet1_fr</v>
      </c>
      <c r="EN11" t="str">
        <f t="shared" si="0"/>
        <v>appliances | Schwarz | XL | bullet2_fr</v>
      </c>
      <c r="EO11" t="str">
        <f t="shared" si="0"/>
        <v>appliances | Schwarz | XL | bullet3_fr</v>
      </c>
      <c r="EP11" t="str">
        <f t="shared" si="0"/>
        <v>appliances | Schwarz | XL | bullet4_fr</v>
      </c>
      <c r="EQ11" t="str">
        <f t="shared" si="0"/>
        <v>appliances | Schwarz | XL | bullet5_fr</v>
      </c>
      <c r="ER11" t="str">
        <f t="shared" si="0"/>
        <v>appliances | Schwarz | XL | seo_title_fr</v>
      </c>
      <c r="ES11" t="str">
        <f t="shared" si="0"/>
        <v>appliances | Schwarz | XL | seo_description_fr</v>
      </c>
      <c r="ET11" t="str">
        <f t="shared" si="0"/>
        <v>appliances | Schwarz | XL | seo_keywords_fr</v>
      </c>
      <c r="EU11" t="str">
        <f t="shared" si="0"/>
        <v>appliances | Schwarz | XL | title_it</v>
      </c>
      <c r="EV11" t="str">
        <f t="shared" si="0"/>
        <v>appliances | Schwarz | XL | description_it</v>
      </c>
      <c r="EW11" t="str">
        <f t="shared" si="0"/>
        <v>appliances | Schwarz | XL | bullet1_it</v>
      </c>
      <c r="EX11" t="str">
        <f t="shared" si="0"/>
        <v>appliances | Schwarz | XL | bullet2_it</v>
      </c>
      <c r="EY11" t="str">
        <f t="shared" si="0"/>
        <v>appliances | Schwarz | XL | bullet3_it</v>
      </c>
      <c r="EZ11" t="str">
        <f t="shared" si="0"/>
        <v>appliances | Schwarz | XL | bullet4_it</v>
      </c>
      <c r="FA11" t="str">
        <f t="shared" si="0"/>
        <v>appliances | Schwarz | XL | bullet5_it</v>
      </c>
      <c r="FB11" t="str">
        <f t="shared" si="0"/>
        <v>appliances | Schwarz | XL | seo_title_it</v>
      </c>
      <c r="FC11" t="str">
        <f t="shared" si="0"/>
        <v>appliances | Schwarz | XL | seo_description_it</v>
      </c>
      <c r="FD11" t="str">
        <f t="shared" si="0"/>
        <v>appliances | Schwarz | XL | seo_keywords_it</v>
      </c>
      <c r="FE11" t="str">
        <f t="shared" si="0"/>
        <v>appliances | Schwarz | XL | title_es</v>
      </c>
      <c r="FF11" t="str">
        <f t="shared" si="0"/>
        <v>appliances | Schwarz | XL | description_es</v>
      </c>
      <c r="FG11" t="str">
        <f t="shared" si="0"/>
        <v>appliances | Schwarz | XL | bullet1_es</v>
      </c>
      <c r="FH11" t="str">
        <f t="shared" si="0"/>
        <v>appliances | Schwarz | XL | bullet2_es</v>
      </c>
      <c r="FI11" t="str">
        <f t="shared" si="0"/>
        <v>appliances | Schwarz | XL | bullet3_es</v>
      </c>
      <c r="FJ11" t="str">
        <f t="shared" si="0"/>
        <v>appliances | Schwarz | XL | bullet4_es</v>
      </c>
      <c r="FK11" t="str">
        <f t="shared" si="0"/>
        <v>appliances | Schwarz | XL | bullet5_es</v>
      </c>
      <c r="FL11" t="str">
        <f t="shared" si="0"/>
        <v>appliances | Schwarz | XL | seo_title_es</v>
      </c>
      <c r="FM11" t="str">
        <f t="shared" si="0"/>
        <v>appliances | Schwarz | XL | seo_description_es</v>
      </c>
      <c r="FN11" t="str">
        <f t="shared" si="0"/>
        <v>appliances | Schwarz | XL | seo_keywords_es</v>
      </c>
      <c r="FO11">
        <f t="shared" si="13"/>
        <v>13.99</v>
      </c>
      <c r="FP11">
        <f t="shared" si="7"/>
        <v>16.990000000000002</v>
      </c>
      <c r="FQ11">
        <f t="shared" si="8"/>
        <v>11.99</v>
      </c>
    </row>
    <row r="12" spans="1:185" x14ac:dyDescent="0.35">
      <c r="A12" t="s">
        <v>372</v>
      </c>
      <c r="B12" t="str">
        <f t="shared" si="1"/>
        <v>eco-parent1-160526-Weiß-S</v>
      </c>
      <c r="C12" t="s">
        <v>419</v>
      </c>
      <c r="D12" t="s">
        <v>354</v>
      </c>
      <c r="E12">
        <f t="shared" si="9"/>
        <v>1234567895</v>
      </c>
      <c r="F12">
        <f t="shared" si="15"/>
        <v>50</v>
      </c>
      <c r="G12" t="s">
        <v>357</v>
      </c>
      <c r="H12" t="s">
        <v>416</v>
      </c>
      <c r="I12" t="s">
        <v>359</v>
      </c>
      <c r="J12" t="s">
        <v>360</v>
      </c>
      <c r="K12" t="s">
        <v>422</v>
      </c>
      <c r="L12" t="s">
        <v>425</v>
      </c>
      <c r="M12" t="str">
        <f t="shared" si="2"/>
        <v>Ander2</v>
      </c>
      <c r="N12">
        <f t="shared" si="3"/>
        <v>106</v>
      </c>
      <c r="O12">
        <f t="shared" si="10"/>
        <v>6</v>
      </c>
      <c r="P12">
        <f t="shared" ref="P12:Q12" si="17">O12+5</f>
        <v>11</v>
      </c>
      <c r="Q12">
        <f t="shared" si="17"/>
        <v>16</v>
      </c>
      <c r="R12" s="18" t="s">
        <v>428</v>
      </c>
      <c r="S12" s="18" t="s">
        <v>429</v>
      </c>
      <c r="W12" s="18" t="s">
        <v>450</v>
      </c>
      <c r="Y12" t="s">
        <v>414</v>
      </c>
      <c r="AA12" t="s">
        <v>378</v>
      </c>
      <c r="AJ12" t="s">
        <v>364</v>
      </c>
      <c r="AK12">
        <f t="shared" si="12"/>
        <v>116</v>
      </c>
      <c r="AL12">
        <v>1000</v>
      </c>
      <c r="AM12">
        <f t="shared" si="4"/>
        <v>1234572</v>
      </c>
      <c r="AN12">
        <f t="shared" si="4"/>
        <v>12350</v>
      </c>
      <c r="AO12" s="18" t="s">
        <v>454</v>
      </c>
      <c r="AP12" t="s">
        <v>455</v>
      </c>
      <c r="AQ12" s="18" t="s">
        <v>457</v>
      </c>
      <c r="AR12" t="s">
        <v>456</v>
      </c>
      <c r="AY12" t="s">
        <v>458</v>
      </c>
      <c r="AZ12" t="s">
        <v>475</v>
      </c>
      <c r="BA12" t="s">
        <v>613</v>
      </c>
      <c r="BB12" t="s">
        <v>476</v>
      </c>
      <c r="BC12" t="s">
        <v>459</v>
      </c>
      <c r="BD12" t="s">
        <v>477</v>
      </c>
      <c r="DG12" t="str">
        <f t="shared" si="5"/>
        <v>appliances | Weiß | S | title_de</v>
      </c>
      <c r="DH12" t="str">
        <f t="shared" si="5"/>
        <v>appliances | Weiß | S | description_de</v>
      </c>
      <c r="DI12" t="str">
        <f t="shared" si="5"/>
        <v>appliances | Weiß | S | bullet1_de</v>
      </c>
      <c r="DJ12" t="str">
        <f t="shared" si="5"/>
        <v>appliances | Weiß | S | bullet2_de</v>
      </c>
      <c r="DK12" t="str">
        <f t="shared" si="5"/>
        <v>appliances | Weiß | S | bullet3_de</v>
      </c>
      <c r="DL12" t="str">
        <f t="shared" si="5"/>
        <v>appliances | Weiß | S | bullet4_de</v>
      </c>
      <c r="DM12" t="str">
        <f t="shared" si="6"/>
        <v>appliances | Weiß | S | bullet5_de</v>
      </c>
      <c r="DN12" t="str">
        <f t="shared" si="6"/>
        <v>appliances | Weiß | S | seo_title_de</v>
      </c>
      <c r="DO12" t="str">
        <f t="shared" si="6"/>
        <v>appliances | Weiß | S | seo_description_de</v>
      </c>
      <c r="DP12" t="str">
        <f t="shared" si="0"/>
        <v>appliances | Weiß | S | seo_keywords_de</v>
      </c>
      <c r="DQ12" t="str">
        <f t="shared" si="0"/>
        <v>appliances | Weiß | S | title_en</v>
      </c>
      <c r="DR12" t="str">
        <f t="shared" si="0"/>
        <v>appliances | Weiß | S | description_en</v>
      </c>
      <c r="DS12" t="str">
        <f t="shared" si="0"/>
        <v>appliances | Weiß | S | bullet1_en</v>
      </c>
      <c r="DT12" t="str">
        <f t="shared" si="0"/>
        <v>appliances | Weiß | S | bullet2_en</v>
      </c>
      <c r="DU12" t="str">
        <f t="shared" si="0"/>
        <v>appliances | Weiß | S | bullet3_en</v>
      </c>
      <c r="DV12" t="str">
        <f t="shared" si="0"/>
        <v>appliances | Weiß | S | bullet4_en</v>
      </c>
      <c r="DW12" t="str">
        <f t="shared" si="0"/>
        <v>appliances | Weiß | S | bullet5_en</v>
      </c>
      <c r="DX12" t="str">
        <f t="shared" si="0"/>
        <v>appliances | Weiß | S | seo_title_en</v>
      </c>
      <c r="DY12" t="str">
        <f t="shared" si="0"/>
        <v>appliances | Weiß | S | seo_description_en</v>
      </c>
      <c r="DZ12" t="str">
        <f t="shared" si="0"/>
        <v>appliances | Weiß | S | seo_keywords_en</v>
      </c>
      <c r="EA12" t="str">
        <f t="shared" si="0"/>
        <v>appliances | Weiß | S | title_tr</v>
      </c>
      <c r="EB12" t="str">
        <f t="shared" si="0"/>
        <v>appliances | Weiß | S | description_tr</v>
      </c>
      <c r="EC12" t="str">
        <f t="shared" ref="DP12:FN17" si="18">MID($I12,1,FIND("-",$I12,1)-1)&amp;" | "&amp;$Y12&amp;" | "&amp;$AA12&amp;" | "&amp;EC$2</f>
        <v>appliances | Weiß | S | bullet1_tr</v>
      </c>
      <c r="ED12" t="str">
        <f t="shared" si="18"/>
        <v>appliances | Weiß | S | bullet2_tr</v>
      </c>
      <c r="EE12" t="str">
        <f t="shared" si="18"/>
        <v>appliances | Weiß | S | bullet3_tr</v>
      </c>
      <c r="EF12" t="str">
        <f t="shared" si="18"/>
        <v>appliances | Weiß | S | bullet4_tr</v>
      </c>
      <c r="EG12" t="str">
        <f t="shared" si="18"/>
        <v>appliances | Weiß | S | bullet5_tr</v>
      </c>
      <c r="EH12" t="str">
        <f t="shared" si="18"/>
        <v>appliances | Weiß | S | seo_title_tr</v>
      </c>
      <c r="EI12" t="str">
        <f t="shared" si="18"/>
        <v>appliances | Weiß | S | seo_description_tr</v>
      </c>
      <c r="EJ12" t="str">
        <f t="shared" si="18"/>
        <v>appliances | Weiß | S | seo_keywords_tr</v>
      </c>
      <c r="EK12" t="str">
        <f t="shared" si="18"/>
        <v>appliances | Weiß | S | title_fr</v>
      </c>
      <c r="EL12" t="str">
        <f t="shared" si="18"/>
        <v>appliances | Weiß | S | description_fr</v>
      </c>
      <c r="EM12" t="str">
        <f t="shared" si="18"/>
        <v>appliances | Weiß | S | bullet1_fr</v>
      </c>
      <c r="EN12" t="str">
        <f t="shared" si="18"/>
        <v>appliances | Weiß | S | bullet2_fr</v>
      </c>
      <c r="EO12" t="str">
        <f t="shared" si="18"/>
        <v>appliances | Weiß | S | bullet3_fr</v>
      </c>
      <c r="EP12" t="str">
        <f t="shared" si="18"/>
        <v>appliances | Weiß | S | bullet4_fr</v>
      </c>
      <c r="EQ12" t="str">
        <f t="shared" si="18"/>
        <v>appliances | Weiß | S | bullet5_fr</v>
      </c>
      <c r="ER12" t="str">
        <f t="shared" si="18"/>
        <v>appliances | Weiß | S | seo_title_fr</v>
      </c>
      <c r="ES12" t="str">
        <f t="shared" si="18"/>
        <v>appliances | Weiß | S | seo_description_fr</v>
      </c>
      <c r="ET12" t="str">
        <f t="shared" si="18"/>
        <v>appliances | Weiß | S | seo_keywords_fr</v>
      </c>
      <c r="EU12" t="str">
        <f t="shared" si="18"/>
        <v>appliances | Weiß | S | title_it</v>
      </c>
      <c r="EV12" t="str">
        <f t="shared" si="18"/>
        <v>appliances | Weiß | S | description_it</v>
      </c>
      <c r="EW12" t="str">
        <f t="shared" si="18"/>
        <v>appliances | Weiß | S | bullet1_it</v>
      </c>
      <c r="EX12" t="str">
        <f t="shared" si="18"/>
        <v>appliances | Weiß | S | bullet2_it</v>
      </c>
      <c r="EY12" t="str">
        <f t="shared" si="18"/>
        <v>appliances | Weiß | S | bullet3_it</v>
      </c>
      <c r="EZ12" t="str">
        <f t="shared" si="18"/>
        <v>appliances | Weiß | S | bullet4_it</v>
      </c>
      <c r="FA12" t="str">
        <f t="shared" si="18"/>
        <v>appliances | Weiß | S | bullet5_it</v>
      </c>
      <c r="FB12" t="str">
        <f t="shared" si="18"/>
        <v>appliances | Weiß | S | seo_title_it</v>
      </c>
      <c r="FC12" t="str">
        <f t="shared" si="18"/>
        <v>appliances | Weiß | S | seo_description_it</v>
      </c>
      <c r="FD12" t="str">
        <f t="shared" si="18"/>
        <v>appliances | Weiß | S | seo_keywords_it</v>
      </c>
      <c r="FE12" t="str">
        <f t="shared" si="18"/>
        <v>appliances | Weiß | S | title_es</v>
      </c>
      <c r="FF12" t="str">
        <f t="shared" si="18"/>
        <v>appliances | Weiß | S | description_es</v>
      </c>
      <c r="FG12" t="str">
        <f t="shared" si="18"/>
        <v>appliances | Weiß | S | bullet1_es</v>
      </c>
      <c r="FH12" t="str">
        <f t="shared" si="18"/>
        <v>appliances | Weiß | S | bullet2_es</v>
      </c>
      <c r="FI12" t="str">
        <f t="shared" si="18"/>
        <v>appliances | Weiß | S | bullet3_es</v>
      </c>
      <c r="FJ12" t="str">
        <f t="shared" si="18"/>
        <v>appliances | Weiß | S | bullet4_es</v>
      </c>
      <c r="FK12" t="str">
        <f t="shared" si="18"/>
        <v>appliances | Weiß | S | bullet5_es</v>
      </c>
      <c r="FL12" t="str">
        <f t="shared" si="18"/>
        <v>appliances | Weiß | S | seo_title_es</v>
      </c>
      <c r="FM12" t="str">
        <f t="shared" si="18"/>
        <v>appliances | Weiß | S | seo_description_es</v>
      </c>
      <c r="FN12" t="str">
        <f t="shared" si="18"/>
        <v>appliances | Weiß | S | seo_keywords_es</v>
      </c>
      <c r="FO12">
        <f t="shared" si="13"/>
        <v>14.99</v>
      </c>
      <c r="FP12">
        <f t="shared" si="7"/>
        <v>17.990000000000002</v>
      </c>
      <c r="FQ12">
        <f t="shared" si="8"/>
        <v>12.99</v>
      </c>
    </row>
    <row r="13" spans="1:185" x14ac:dyDescent="0.35">
      <c r="A13" t="s">
        <v>372</v>
      </c>
      <c r="B13" t="str">
        <f t="shared" si="1"/>
        <v>eco-parent1-160526-Weiß-M</v>
      </c>
      <c r="C13" t="s">
        <v>419</v>
      </c>
      <c r="D13" t="s">
        <v>354</v>
      </c>
      <c r="E13">
        <f t="shared" si="9"/>
        <v>1234567896</v>
      </c>
      <c r="F13">
        <f t="shared" si="15"/>
        <v>60</v>
      </c>
      <c r="G13" t="s">
        <v>357</v>
      </c>
      <c r="H13" t="s">
        <v>416</v>
      </c>
      <c r="I13" t="s">
        <v>359</v>
      </c>
      <c r="J13" t="s">
        <v>360</v>
      </c>
      <c r="K13" t="s">
        <v>422</v>
      </c>
      <c r="L13" t="s">
        <v>425</v>
      </c>
      <c r="M13" t="str">
        <f t="shared" si="2"/>
        <v>Ander2</v>
      </c>
      <c r="N13">
        <f t="shared" si="3"/>
        <v>107</v>
      </c>
      <c r="O13">
        <f t="shared" si="10"/>
        <v>7</v>
      </c>
      <c r="P13">
        <f t="shared" ref="P13:Q13" si="19">O13+5</f>
        <v>12</v>
      </c>
      <c r="Q13">
        <f t="shared" si="19"/>
        <v>17</v>
      </c>
      <c r="R13" s="18" t="s">
        <v>428</v>
      </c>
      <c r="S13" s="18" t="s">
        <v>429</v>
      </c>
      <c r="W13" s="18" t="s">
        <v>450</v>
      </c>
      <c r="Y13" t="s">
        <v>414</v>
      </c>
      <c r="AA13" t="s">
        <v>381</v>
      </c>
      <c r="AJ13" t="s">
        <v>364</v>
      </c>
      <c r="AK13">
        <f t="shared" si="12"/>
        <v>117</v>
      </c>
      <c r="AL13">
        <v>1000</v>
      </c>
      <c r="AM13">
        <f t="shared" si="4"/>
        <v>1234573</v>
      </c>
      <c r="AN13">
        <f t="shared" si="4"/>
        <v>12351</v>
      </c>
      <c r="AO13" s="18" t="s">
        <v>454</v>
      </c>
      <c r="AP13" t="s">
        <v>455</v>
      </c>
      <c r="AQ13" s="18" t="s">
        <v>457</v>
      </c>
      <c r="AR13" t="s">
        <v>456</v>
      </c>
      <c r="AY13" t="s">
        <v>458</v>
      </c>
      <c r="AZ13" t="s">
        <v>478</v>
      </c>
      <c r="BA13" t="s">
        <v>613</v>
      </c>
      <c r="BB13" t="s">
        <v>479</v>
      </c>
      <c r="BC13" t="s">
        <v>459</v>
      </c>
      <c r="BD13" t="s">
        <v>480</v>
      </c>
      <c r="DG13" t="str">
        <f t="shared" si="5"/>
        <v>appliances | Weiß | M | title_de</v>
      </c>
      <c r="DH13" t="str">
        <f t="shared" si="5"/>
        <v>appliances | Weiß | M | description_de</v>
      </c>
      <c r="DI13" t="str">
        <f t="shared" si="5"/>
        <v>appliances | Weiß | M | bullet1_de</v>
      </c>
      <c r="DJ13" t="str">
        <f t="shared" si="5"/>
        <v>appliances | Weiß | M | bullet2_de</v>
      </c>
      <c r="DK13" t="str">
        <f t="shared" si="5"/>
        <v>appliances | Weiß | M | bullet3_de</v>
      </c>
      <c r="DL13" t="str">
        <f t="shared" ref="DL13:DL57" si="20">MID($I13,1,FIND("-",$I13,1)-1)&amp;" | "&amp;$Y13&amp;" | "&amp;$AA13&amp;" | "&amp;DL$2</f>
        <v>appliances | Weiß | M | bullet4_de</v>
      </c>
      <c r="DM13" t="str">
        <f t="shared" si="6"/>
        <v>appliances | Weiß | M | bullet5_de</v>
      </c>
      <c r="DN13" t="str">
        <f t="shared" si="6"/>
        <v>appliances | Weiß | M | seo_title_de</v>
      </c>
      <c r="DO13" t="str">
        <f t="shared" si="6"/>
        <v>appliances | Weiß | M | seo_description_de</v>
      </c>
      <c r="DP13" t="str">
        <f t="shared" si="18"/>
        <v>appliances | Weiß | M | seo_keywords_de</v>
      </c>
      <c r="DQ13" t="str">
        <f t="shared" si="18"/>
        <v>appliances | Weiß | M | title_en</v>
      </c>
      <c r="DR13" t="str">
        <f t="shared" si="18"/>
        <v>appliances | Weiß | M | description_en</v>
      </c>
      <c r="DS13" t="str">
        <f t="shared" si="18"/>
        <v>appliances | Weiß | M | bullet1_en</v>
      </c>
      <c r="DT13" t="str">
        <f t="shared" si="18"/>
        <v>appliances | Weiß | M | bullet2_en</v>
      </c>
      <c r="DU13" t="str">
        <f t="shared" si="18"/>
        <v>appliances | Weiß | M | bullet3_en</v>
      </c>
      <c r="DV13" t="str">
        <f t="shared" si="18"/>
        <v>appliances | Weiß | M | bullet4_en</v>
      </c>
      <c r="DW13" t="str">
        <f t="shared" si="18"/>
        <v>appliances | Weiß | M | bullet5_en</v>
      </c>
      <c r="DX13" t="str">
        <f t="shared" si="18"/>
        <v>appliances | Weiß | M | seo_title_en</v>
      </c>
      <c r="DY13" t="str">
        <f t="shared" si="18"/>
        <v>appliances | Weiß | M | seo_description_en</v>
      </c>
      <c r="DZ13" t="str">
        <f t="shared" si="18"/>
        <v>appliances | Weiß | M | seo_keywords_en</v>
      </c>
      <c r="EA13" t="str">
        <f t="shared" si="18"/>
        <v>appliances | Weiß | M | title_tr</v>
      </c>
      <c r="EB13" t="str">
        <f t="shared" si="18"/>
        <v>appliances | Weiß | M | description_tr</v>
      </c>
      <c r="EC13" t="str">
        <f t="shared" si="18"/>
        <v>appliances | Weiß | M | bullet1_tr</v>
      </c>
      <c r="ED13" t="str">
        <f t="shared" si="18"/>
        <v>appliances | Weiß | M | bullet2_tr</v>
      </c>
      <c r="EE13" t="str">
        <f t="shared" si="18"/>
        <v>appliances | Weiß | M | bullet3_tr</v>
      </c>
      <c r="EF13" t="str">
        <f t="shared" si="18"/>
        <v>appliances | Weiß | M | bullet4_tr</v>
      </c>
      <c r="EG13" t="str">
        <f t="shared" si="18"/>
        <v>appliances | Weiß | M | bullet5_tr</v>
      </c>
      <c r="EH13" t="str">
        <f t="shared" si="18"/>
        <v>appliances | Weiß | M | seo_title_tr</v>
      </c>
      <c r="EI13" t="str">
        <f t="shared" si="18"/>
        <v>appliances | Weiß | M | seo_description_tr</v>
      </c>
      <c r="EJ13" t="str">
        <f t="shared" si="18"/>
        <v>appliances | Weiß | M | seo_keywords_tr</v>
      </c>
      <c r="EK13" t="str">
        <f t="shared" si="18"/>
        <v>appliances | Weiß | M | title_fr</v>
      </c>
      <c r="EL13" t="str">
        <f t="shared" si="18"/>
        <v>appliances | Weiß | M | description_fr</v>
      </c>
      <c r="EM13" t="str">
        <f t="shared" si="18"/>
        <v>appliances | Weiß | M | bullet1_fr</v>
      </c>
      <c r="EN13" t="str">
        <f t="shared" si="18"/>
        <v>appliances | Weiß | M | bullet2_fr</v>
      </c>
      <c r="EO13" t="str">
        <f t="shared" si="18"/>
        <v>appliances | Weiß | M | bullet3_fr</v>
      </c>
      <c r="EP13" t="str">
        <f t="shared" si="18"/>
        <v>appliances | Weiß | M | bullet4_fr</v>
      </c>
      <c r="EQ13" t="str">
        <f t="shared" si="18"/>
        <v>appliances | Weiß | M | bullet5_fr</v>
      </c>
      <c r="ER13" t="str">
        <f t="shared" si="18"/>
        <v>appliances | Weiß | M | seo_title_fr</v>
      </c>
      <c r="ES13" t="str">
        <f t="shared" si="18"/>
        <v>appliances | Weiß | M | seo_description_fr</v>
      </c>
      <c r="ET13" t="str">
        <f t="shared" si="18"/>
        <v>appliances | Weiß | M | seo_keywords_fr</v>
      </c>
      <c r="EU13" t="str">
        <f t="shared" si="18"/>
        <v>appliances | Weiß | M | title_it</v>
      </c>
      <c r="EV13" t="str">
        <f t="shared" si="18"/>
        <v>appliances | Weiß | M | description_it</v>
      </c>
      <c r="EW13" t="str">
        <f t="shared" si="18"/>
        <v>appliances | Weiß | M | bullet1_it</v>
      </c>
      <c r="EX13" t="str">
        <f t="shared" si="18"/>
        <v>appliances | Weiß | M | bullet2_it</v>
      </c>
      <c r="EY13" t="str">
        <f t="shared" si="18"/>
        <v>appliances | Weiß | M | bullet3_it</v>
      </c>
      <c r="EZ13" t="str">
        <f t="shared" si="18"/>
        <v>appliances | Weiß | M | bullet4_it</v>
      </c>
      <c r="FA13" t="str">
        <f t="shared" si="18"/>
        <v>appliances | Weiß | M | bullet5_it</v>
      </c>
      <c r="FB13" t="str">
        <f t="shared" si="18"/>
        <v>appliances | Weiß | M | seo_title_it</v>
      </c>
      <c r="FC13" t="str">
        <f t="shared" si="18"/>
        <v>appliances | Weiß | M | seo_description_it</v>
      </c>
      <c r="FD13" t="str">
        <f t="shared" si="18"/>
        <v>appliances | Weiß | M | seo_keywords_it</v>
      </c>
      <c r="FE13" t="str">
        <f t="shared" si="18"/>
        <v>appliances | Weiß | M | title_es</v>
      </c>
      <c r="FF13" t="str">
        <f t="shared" si="18"/>
        <v>appliances | Weiß | M | description_es</v>
      </c>
      <c r="FG13" t="str">
        <f t="shared" si="18"/>
        <v>appliances | Weiß | M | bullet1_es</v>
      </c>
      <c r="FH13" t="str">
        <f t="shared" si="18"/>
        <v>appliances | Weiß | M | bullet2_es</v>
      </c>
      <c r="FI13" t="str">
        <f t="shared" si="18"/>
        <v>appliances | Weiß | M | bullet3_es</v>
      </c>
      <c r="FJ13" t="str">
        <f t="shared" si="18"/>
        <v>appliances | Weiß | M | bullet4_es</v>
      </c>
      <c r="FK13" t="str">
        <f t="shared" si="18"/>
        <v>appliances | Weiß | M | bullet5_es</v>
      </c>
      <c r="FL13" t="str">
        <f t="shared" si="18"/>
        <v>appliances | Weiß | M | seo_title_es</v>
      </c>
      <c r="FM13" t="str">
        <f t="shared" si="18"/>
        <v>appliances | Weiß | M | seo_description_es</v>
      </c>
      <c r="FN13" t="str">
        <f t="shared" si="18"/>
        <v>appliances | Weiß | M | seo_keywords_es</v>
      </c>
      <c r="FO13">
        <f t="shared" si="13"/>
        <v>15.99</v>
      </c>
      <c r="FP13">
        <f t="shared" si="7"/>
        <v>18.990000000000002</v>
      </c>
      <c r="FQ13">
        <f t="shared" si="8"/>
        <v>13.99</v>
      </c>
    </row>
    <row r="14" spans="1:185" x14ac:dyDescent="0.35">
      <c r="A14" t="s">
        <v>372</v>
      </c>
      <c r="B14" t="str">
        <f t="shared" si="1"/>
        <v>eco-parent1-160526-Weiß-L</v>
      </c>
      <c r="C14" t="s">
        <v>419</v>
      </c>
      <c r="D14" t="s">
        <v>354</v>
      </c>
      <c r="E14">
        <f t="shared" si="9"/>
        <v>1234567897</v>
      </c>
      <c r="F14">
        <f t="shared" si="15"/>
        <v>70</v>
      </c>
      <c r="G14" t="s">
        <v>357</v>
      </c>
      <c r="H14" t="s">
        <v>416</v>
      </c>
      <c r="I14" t="s">
        <v>359</v>
      </c>
      <c r="J14" t="s">
        <v>360</v>
      </c>
      <c r="K14" t="s">
        <v>422</v>
      </c>
      <c r="L14" t="s">
        <v>425</v>
      </c>
      <c r="M14" t="str">
        <f t="shared" si="2"/>
        <v>Ander2</v>
      </c>
      <c r="N14">
        <f t="shared" si="3"/>
        <v>108</v>
      </c>
      <c r="O14">
        <f t="shared" si="10"/>
        <v>8</v>
      </c>
      <c r="P14">
        <f t="shared" ref="P14:Q14" si="21">O14+5</f>
        <v>13</v>
      </c>
      <c r="Q14">
        <f t="shared" si="21"/>
        <v>18</v>
      </c>
      <c r="R14" s="18" t="s">
        <v>428</v>
      </c>
      <c r="S14" s="18" t="s">
        <v>429</v>
      </c>
      <c r="W14" s="18" t="s">
        <v>450</v>
      </c>
      <c r="Y14" t="s">
        <v>414</v>
      </c>
      <c r="AA14" t="s">
        <v>406</v>
      </c>
      <c r="AJ14" t="s">
        <v>364</v>
      </c>
      <c r="AK14">
        <f t="shared" si="12"/>
        <v>118</v>
      </c>
      <c r="AL14">
        <v>1000</v>
      </c>
      <c r="AM14">
        <f t="shared" si="4"/>
        <v>1234574</v>
      </c>
      <c r="AN14">
        <f t="shared" si="4"/>
        <v>12352</v>
      </c>
      <c r="AO14" s="18" t="s">
        <v>454</v>
      </c>
      <c r="AP14" t="s">
        <v>455</v>
      </c>
      <c r="AQ14" s="18" t="s">
        <v>457</v>
      </c>
      <c r="AR14" t="s">
        <v>456</v>
      </c>
      <c r="AY14" t="s">
        <v>458</v>
      </c>
      <c r="AZ14" t="s">
        <v>481</v>
      </c>
      <c r="BA14" t="s">
        <v>613</v>
      </c>
      <c r="BB14" t="s">
        <v>482</v>
      </c>
      <c r="BC14" t="s">
        <v>459</v>
      </c>
      <c r="BD14" t="s">
        <v>483</v>
      </c>
      <c r="DG14" t="str">
        <f t="shared" si="5"/>
        <v>appliances | Weiß | L | title_de</v>
      </c>
      <c r="DH14" t="str">
        <f t="shared" si="5"/>
        <v>appliances | Weiß | L | description_de</v>
      </c>
      <c r="DI14" t="str">
        <f t="shared" si="5"/>
        <v>appliances | Weiß | L | bullet1_de</v>
      </c>
      <c r="DJ14" t="str">
        <f t="shared" si="5"/>
        <v>appliances | Weiß | L | bullet2_de</v>
      </c>
      <c r="DK14" t="str">
        <f t="shared" si="5"/>
        <v>appliances | Weiß | L | bullet3_de</v>
      </c>
      <c r="DL14" t="str">
        <f t="shared" si="20"/>
        <v>appliances | Weiß | L | bullet4_de</v>
      </c>
      <c r="DM14" t="str">
        <f t="shared" si="6"/>
        <v>appliances | Weiß | L | bullet5_de</v>
      </c>
      <c r="DN14" t="str">
        <f t="shared" si="6"/>
        <v>appliances | Weiß | L | seo_title_de</v>
      </c>
      <c r="DO14" t="str">
        <f t="shared" si="6"/>
        <v>appliances | Weiß | L | seo_description_de</v>
      </c>
      <c r="DP14" t="str">
        <f t="shared" si="18"/>
        <v>appliances | Weiß | L | seo_keywords_de</v>
      </c>
      <c r="DQ14" t="str">
        <f t="shared" si="18"/>
        <v>appliances | Weiß | L | title_en</v>
      </c>
      <c r="DR14" t="str">
        <f t="shared" si="18"/>
        <v>appliances | Weiß | L | description_en</v>
      </c>
      <c r="DS14" t="str">
        <f t="shared" si="18"/>
        <v>appliances | Weiß | L | bullet1_en</v>
      </c>
      <c r="DT14" t="str">
        <f t="shared" si="18"/>
        <v>appliances | Weiß | L | bullet2_en</v>
      </c>
      <c r="DU14" t="str">
        <f t="shared" si="18"/>
        <v>appliances | Weiß | L | bullet3_en</v>
      </c>
      <c r="DV14" t="str">
        <f t="shared" si="18"/>
        <v>appliances | Weiß | L | bullet4_en</v>
      </c>
      <c r="DW14" t="str">
        <f t="shared" si="18"/>
        <v>appliances | Weiß | L | bullet5_en</v>
      </c>
      <c r="DX14" t="str">
        <f t="shared" si="18"/>
        <v>appliances | Weiß | L | seo_title_en</v>
      </c>
      <c r="DY14" t="str">
        <f t="shared" si="18"/>
        <v>appliances | Weiß | L | seo_description_en</v>
      </c>
      <c r="DZ14" t="str">
        <f t="shared" si="18"/>
        <v>appliances | Weiß | L | seo_keywords_en</v>
      </c>
      <c r="EA14" t="str">
        <f t="shared" si="18"/>
        <v>appliances | Weiß | L | title_tr</v>
      </c>
      <c r="EB14" t="str">
        <f t="shared" si="18"/>
        <v>appliances | Weiß | L | description_tr</v>
      </c>
      <c r="EC14" t="str">
        <f t="shared" si="18"/>
        <v>appliances | Weiß | L | bullet1_tr</v>
      </c>
      <c r="ED14" t="str">
        <f t="shared" si="18"/>
        <v>appliances | Weiß | L | bullet2_tr</v>
      </c>
      <c r="EE14" t="str">
        <f t="shared" si="18"/>
        <v>appliances | Weiß | L | bullet3_tr</v>
      </c>
      <c r="EF14" t="str">
        <f t="shared" si="18"/>
        <v>appliances | Weiß | L | bullet4_tr</v>
      </c>
      <c r="EG14" t="str">
        <f t="shared" si="18"/>
        <v>appliances | Weiß | L | bullet5_tr</v>
      </c>
      <c r="EH14" t="str">
        <f t="shared" si="18"/>
        <v>appliances | Weiß | L | seo_title_tr</v>
      </c>
      <c r="EI14" t="str">
        <f t="shared" si="18"/>
        <v>appliances | Weiß | L | seo_description_tr</v>
      </c>
      <c r="EJ14" t="str">
        <f t="shared" si="18"/>
        <v>appliances | Weiß | L | seo_keywords_tr</v>
      </c>
      <c r="EK14" t="str">
        <f t="shared" si="18"/>
        <v>appliances | Weiß | L | title_fr</v>
      </c>
      <c r="EL14" t="str">
        <f t="shared" si="18"/>
        <v>appliances | Weiß | L | description_fr</v>
      </c>
      <c r="EM14" t="str">
        <f t="shared" si="18"/>
        <v>appliances | Weiß | L | bullet1_fr</v>
      </c>
      <c r="EN14" t="str">
        <f t="shared" si="18"/>
        <v>appliances | Weiß | L | bullet2_fr</v>
      </c>
      <c r="EO14" t="str">
        <f t="shared" si="18"/>
        <v>appliances | Weiß | L | bullet3_fr</v>
      </c>
      <c r="EP14" t="str">
        <f t="shared" si="18"/>
        <v>appliances | Weiß | L | bullet4_fr</v>
      </c>
      <c r="EQ14" t="str">
        <f t="shared" si="18"/>
        <v>appliances | Weiß | L | bullet5_fr</v>
      </c>
      <c r="ER14" t="str">
        <f t="shared" si="18"/>
        <v>appliances | Weiß | L | seo_title_fr</v>
      </c>
      <c r="ES14" t="str">
        <f t="shared" si="18"/>
        <v>appliances | Weiß | L | seo_description_fr</v>
      </c>
      <c r="ET14" t="str">
        <f t="shared" si="18"/>
        <v>appliances | Weiß | L | seo_keywords_fr</v>
      </c>
      <c r="EU14" t="str">
        <f t="shared" si="18"/>
        <v>appliances | Weiß | L | title_it</v>
      </c>
      <c r="EV14" t="str">
        <f t="shared" si="18"/>
        <v>appliances | Weiß | L | description_it</v>
      </c>
      <c r="EW14" t="str">
        <f t="shared" si="18"/>
        <v>appliances | Weiß | L | bullet1_it</v>
      </c>
      <c r="EX14" t="str">
        <f t="shared" si="18"/>
        <v>appliances | Weiß | L | bullet2_it</v>
      </c>
      <c r="EY14" t="str">
        <f t="shared" si="18"/>
        <v>appliances | Weiß | L | bullet3_it</v>
      </c>
      <c r="EZ14" t="str">
        <f t="shared" si="18"/>
        <v>appliances | Weiß | L | bullet4_it</v>
      </c>
      <c r="FA14" t="str">
        <f t="shared" si="18"/>
        <v>appliances | Weiß | L | bullet5_it</v>
      </c>
      <c r="FB14" t="str">
        <f t="shared" si="18"/>
        <v>appliances | Weiß | L | seo_title_it</v>
      </c>
      <c r="FC14" t="str">
        <f t="shared" si="18"/>
        <v>appliances | Weiß | L | seo_description_it</v>
      </c>
      <c r="FD14" t="str">
        <f t="shared" si="18"/>
        <v>appliances | Weiß | L | seo_keywords_it</v>
      </c>
      <c r="FE14" t="str">
        <f t="shared" si="18"/>
        <v>appliances | Weiß | L | title_es</v>
      </c>
      <c r="FF14" t="str">
        <f t="shared" si="18"/>
        <v>appliances | Weiß | L | description_es</v>
      </c>
      <c r="FG14" t="str">
        <f t="shared" si="18"/>
        <v>appliances | Weiß | L | bullet1_es</v>
      </c>
      <c r="FH14" t="str">
        <f t="shared" si="18"/>
        <v>appliances | Weiß | L | bullet2_es</v>
      </c>
      <c r="FI14" t="str">
        <f t="shared" si="18"/>
        <v>appliances | Weiß | L | bullet3_es</v>
      </c>
      <c r="FJ14" t="str">
        <f t="shared" si="18"/>
        <v>appliances | Weiß | L | bullet4_es</v>
      </c>
      <c r="FK14" t="str">
        <f t="shared" si="18"/>
        <v>appliances | Weiß | L | bullet5_es</v>
      </c>
      <c r="FL14" t="str">
        <f t="shared" si="18"/>
        <v>appliances | Weiß | L | seo_title_es</v>
      </c>
      <c r="FM14" t="str">
        <f t="shared" si="18"/>
        <v>appliances | Weiß | L | seo_description_es</v>
      </c>
      <c r="FN14" t="str">
        <f t="shared" si="18"/>
        <v>appliances | Weiß | L | seo_keywords_es</v>
      </c>
      <c r="FO14">
        <f t="shared" si="13"/>
        <v>16.990000000000002</v>
      </c>
      <c r="FP14">
        <f t="shared" si="7"/>
        <v>19.990000000000002</v>
      </c>
      <c r="FQ14">
        <f t="shared" si="8"/>
        <v>14.990000000000002</v>
      </c>
    </row>
    <row r="15" spans="1:185" x14ac:dyDescent="0.35">
      <c r="A15" t="s">
        <v>372</v>
      </c>
      <c r="B15" t="str">
        <f t="shared" si="1"/>
        <v>eco-parent1-160526-Weiß-XL</v>
      </c>
      <c r="C15" t="s">
        <v>419</v>
      </c>
      <c r="D15" t="s">
        <v>354</v>
      </c>
      <c r="E15">
        <f t="shared" si="9"/>
        <v>1234567898</v>
      </c>
      <c r="F15">
        <f t="shared" si="15"/>
        <v>80</v>
      </c>
      <c r="G15" t="s">
        <v>357</v>
      </c>
      <c r="H15" t="s">
        <v>416</v>
      </c>
      <c r="I15" t="s">
        <v>359</v>
      </c>
      <c r="J15" t="s">
        <v>360</v>
      </c>
      <c r="K15" t="s">
        <v>422</v>
      </c>
      <c r="L15" t="s">
        <v>425</v>
      </c>
      <c r="M15" t="str">
        <f t="shared" si="2"/>
        <v>Ander2</v>
      </c>
      <c r="N15">
        <f t="shared" si="3"/>
        <v>109</v>
      </c>
      <c r="O15">
        <f t="shared" si="10"/>
        <v>9</v>
      </c>
      <c r="P15">
        <f t="shared" ref="P15:Q15" si="22">O15+5</f>
        <v>14</v>
      </c>
      <c r="Q15">
        <f t="shared" si="22"/>
        <v>19</v>
      </c>
      <c r="R15" s="18" t="s">
        <v>428</v>
      </c>
      <c r="S15" s="18" t="s">
        <v>429</v>
      </c>
      <c r="W15" s="18" t="s">
        <v>450</v>
      </c>
      <c r="Y15" t="s">
        <v>414</v>
      </c>
      <c r="AA15" t="s">
        <v>412</v>
      </c>
      <c r="AJ15" t="s">
        <v>364</v>
      </c>
      <c r="AK15">
        <f t="shared" si="12"/>
        <v>119</v>
      </c>
      <c r="AL15">
        <v>1000</v>
      </c>
      <c r="AM15">
        <f t="shared" si="4"/>
        <v>1234575</v>
      </c>
      <c r="AN15">
        <f t="shared" si="4"/>
        <v>12353</v>
      </c>
      <c r="AO15" s="18" t="s">
        <v>454</v>
      </c>
      <c r="AP15" t="s">
        <v>455</v>
      </c>
      <c r="AQ15" s="18" t="s">
        <v>457</v>
      </c>
      <c r="AR15" t="s">
        <v>456</v>
      </c>
      <c r="AY15" t="s">
        <v>458</v>
      </c>
      <c r="AZ15" t="s">
        <v>484</v>
      </c>
      <c r="BA15" t="s">
        <v>613</v>
      </c>
      <c r="BB15" t="s">
        <v>485</v>
      </c>
      <c r="BC15" t="s">
        <v>459</v>
      </c>
      <c r="BD15" t="s">
        <v>486</v>
      </c>
      <c r="DG15" t="str">
        <f t="shared" si="5"/>
        <v>appliances | Weiß | XL | title_de</v>
      </c>
      <c r="DH15" t="str">
        <f t="shared" si="5"/>
        <v>appliances | Weiß | XL | description_de</v>
      </c>
      <c r="DI15" t="str">
        <f t="shared" si="5"/>
        <v>appliances | Weiß | XL | bullet1_de</v>
      </c>
      <c r="DJ15" t="str">
        <f t="shared" si="5"/>
        <v>appliances | Weiß | XL | bullet2_de</v>
      </c>
      <c r="DK15" t="str">
        <f t="shared" si="5"/>
        <v>appliances | Weiß | XL | bullet3_de</v>
      </c>
      <c r="DL15" t="str">
        <f t="shared" si="20"/>
        <v>appliances | Weiß | XL | bullet4_de</v>
      </c>
      <c r="DM15" t="str">
        <f t="shared" si="6"/>
        <v>appliances | Weiß | XL | bullet5_de</v>
      </c>
      <c r="DN15" t="str">
        <f t="shared" si="6"/>
        <v>appliances | Weiß | XL | seo_title_de</v>
      </c>
      <c r="DO15" t="str">
        <f t="shared" si="6"/>
        <v>appliances | Weiß | XL | seo_description_de</v>
      </c>
      <c r="DP15" t="str">
        <f t="shared" si="18"/>
        <v>appliances | Weiß | XL | seo_keywords_de</v>
      </c>
      <c r="DQ15" t="str">
        <f t="shared" si="18"/>
        <v>appliances | Weiß | XL | title_en</v>
      </c>
      <c r="DR15" t="str">
        <f t="shared" si="18"/>
        <v>appliances | Weiß | XL | description_en</v>
      </c>
      <c r="DS15" t="str">
        <f t="shared" si="18"/>
        <v>appliances | Weiß | XL | bullet1_en</v>
      </c>
      <c r="DT15" t="str">
        <f t="shared" si="18"/>
        <v>appliances | Weiß | XL | bullet2_en</v>
      </c>
      <c r="DU15" t="str">
        <f t="shared" si="18"/>
        <v>appliances | Weiß | XL | bullet3_en</v>
      </c>
      <c r="DV15" t="str">
        <f t="shared" si="18"/>
        <v>appliances | Weiß | XL | bullet4_en</v>
      </c>
      <c r="DW15" t="str">
        <f t="shared" si="18"/>
        <v>appliances | Weiß | XL | bullet5_en</v>
      </c>
      <c r="DX15" t="str">
        <f t="shared" si="18"/>
        <v>appliances | Weiß | XL | seo_title_en</v>
      </c>
      <c r="DY15" t="str">
        <f t="shared" si="18"/>
        <v>appliances | Weiß | XL | seo_description_en</v>
      </c>
      <c r="DZ15" t="str">
        <f t="shared" si="18"/>
        <v>appliances | Weiß | XL | seo_keywords_en</v>
      </c>
      <c r="EA15" t="str">
        <f t="shared" si="18"/>
        <v>appliances | Weiß | XL | title_tr</v>
      </c>
      <c r="EB15" t="str">
        <f t="shared" si="18"/>
        <v>appliances | Weiß | XL | description_tr</v>
      </c>
      <c r="EC15" t="str">
        <f t="shared" si="18"/>
        <v>appliances | Weiß | XL | bullet1_tr</v>
      </c>
      <c r="ED15" t="str">
        <f t="shared" si="18"/>
        <v>appliances | Weiß | XL | bullet2_tr</v>
      </c>
      <c r="EE15" t="str">
        <f t="shared" si="18"/>
        <v>appliances | Weiß | XL | bullet3_tr</v>
      </c>
      <c r="EF15" t="str">
        <f t="shared" si="18"/>
        <v>appliances | Weiß | XL | bullet4_tr</v>
      </c>
      <c r="EG15" t="str">
        <f t="shared" si="18"/>
        <v>appliances | Weiß | XL | bullet5_tr</v>
      </c>
      <c r="EH15" t="str">
        <f t="shared" si="18"/>
        <v>appliances | Weiß | XL | seo_title_tr</v>
      </c>
      <c r="EI15" t="str">
        <f t="shared" si="18"/>
        <v>appliances | Weiß | XL | seo_description_tr</v>
      </c>
      <c r="EJ15" t="str">
        <f t="shared" si="18"/>
        <v>appliances | Weiß | XL | seo_keywords_tr</v>
      </c>
      <c r="EK15" t="str">
        <f t="shared" si="18"/>
        <v>appliances | Weiß | XL | title_fr</v>
      </c>
      <c r="EL15" t="str">
        <f t="shared" si="18"/>
        <v>appliances | Weiß | XL | description_fr</v>
      </c>
      <c r="EM15" t="str">
        <f t="shared" si="18"/>
        <v>appliances | Weiß | XL | bullet1_fr</v>
      </c>
      <c r="EN15" t="str">
        <f t="shared" si="18"/>
        <v>appliances | Weiß | XL | bullet2_fr</v>
      </c>
      <c r="EO15" t="str">
        <f t="shared" si="18"/>
        <v>appliances | Weiß | XL | bullet3_fr</v>
      </c>
      <c r="EP15" t="str">
        <f t="shared" si="18"/>
        <v>appliances | Weiß | XL | bullet4_fr</v>
      </c>
      <c r="EQ15" t="str">
        <f t="shared" si="18"/>
        <v>appliances | Weiß | XL | bullet5_fr</v>
      </c>
      <c r="ER15" t="str">
        <f t="shared" si="18"/>
        <v>appliances | Weiß | XL | seo_title_fr</v>
      </c>
      <c r="ES15" t="str">
        <f t="shared" si="18"/>
        <v>appliances | Weiß | XL | seo_description_fr</v>
      </c>
      <c r="ET15" t="str">
        <f t="shared" si="18"/>
        <v>appliances | Weiß | XL | seo_keywords_fr</v>
      </c>
      <c r="EU15" t="str">
        <f t="shared" si="18"/>
        <v>appliances | Weiß | XL | title_it</v>
      </c>
      <c r="EV15" t="str">
        <f t="shared" si="18"/>
        <v>appliances | Weiß | XL | description_it</v>
      </c>
      <c r="EW15" t="str">
        <f t="shared" si="18"/>
        <v>appliances | Weiß | XL | bullet1_it</v>
      </c>
      <c r="EX15" t="str">
        <f t="shared" si="18"/>
        <v>appliances | Weiß | XL | bullet2_it</v>
      </c>
      <c r="EY15" t="str">
        <f t="shared" si="18"/>
        <v>appliances | Weiß | XL | bullet3_it</v>
      </c>
      <c r="EZ15" t="str">
        <f t="shared" si="18"/>
        <v>appliances | Weiß | XL | bullet4_it</v>
      </c>
      <c r="FA15" t="str">
        <f t="shared" si="18"/>
        <v>appliances | Weiß | XL | bullet5_it</v>
      </c>
      <c r="FB15" t="str">
        <f t="shared" si="18"/>
        <v>appliances | Weiß | XL | seo_title_it</v>
      </c>
      <c r="FC15" t="str">
        <f t="shared" si="18"/>
        <v>appliances | Weiß | XL | seo_description_it</v>
      </c>
      <c r="FD15" t="str">
        <f t="shared" si="18"/>
        <v>appliances | Weiß | XL | seo_keywords_it</v>
      </c>
      <c r="FE15" t="str">
        <f t="shared" si="18"/>
        <v>appliances | Weiß | XL | title_es</v>
      </c>
      <c r="FF15" t="str">
        <f t="shared" si="18"/>
        <v>appliances | Weiß | XL | description_es</v>
      </c>
      <c r="FG15" t="str">
        <f t="shared" si="18"/>
        <v>appliances | Weiß | XL | bullet1_es</v>
      </c>
      <c r="FH15" t="str">
        <f t="shared" si="18"/>
        <v>appliances | Weiß | XL | bullet2_es</v>
      </c>
      <c r="FI15" t="str">
        <f t="shared" si="18"/>
        <v>appliances | Weiß | XL | bullet3_es</v>
      </c>
      <c r="FJ15" t="str">
        <f t="shared" si="18"/>
        <v>appliances | Weiß | XL | bullet4_es</v>
      </c>
      <c r="FK15" t="str">
        <f t="shared" si="18"/>
        <v>appliances | Weiß | XL | bullet5_es</v>
      </c>
      <c r="FL15" t="str">
        <f t="shared" si="18"/>
        <v>appliances | Weiß | XL | seo_title_es</v>
      </c>
      <c r="FM15" t="str">
        <f t="shared" si="18"/>
        <v>appliances | Weiß | XL | seo_description_es</v>
      </c>
      <c r="FN15" t="str">
        <f t="shared" si="18"/>
        <v>appliances | Weiß | XL | seo_keywords_es</v>
      </c>
      <c r="FO15">
        <f t="shared" si="13"/>
        <v>17.990000000000002</v>
      </c>
      <c r="FP15">
        <f t="shared" si="7"/>
        <v>20.990000000000002</v>
      </c>
      <c r="FQ15">
        <f t="shared" si="8"/>
        <v>15.990000000000002</v>
      </c>
    </row>
    <row r="16" spans="1:185" x14ac:dyDescent="0.35">
      <c r="A16" t="s">
        <v>372</v>
      </c>
      <c r="B16" t="str">
        <f t="shared" si="1"/>
        <v>eco-parent1-160526-Blau-S</v>
      </c>
      <c r="C16" t="s">
        <v>419</v>
      </c>
      <c r="D16" t="s">
        <v>354</v>
      </c>
      <c r="E16">
        <f t="shared" si="9"/>
        <v>1234567899</v>
      </c>
      <c r="F16">
        <f t="shared" si="15"/>
        <v>90</v>
      </c>
      <c r="G16" t="s">
        <v>357</v>
      </c>
      <c r="H16" t="s">
        <v>416</v>
      </c>
      <c r="I16" t="s">
        <v>359</v>
      </c>
      <c r="J16" t="s">
        <v>360</v>
      </c>
      <c r="K16" t="s">
        <v>422</v>
      </c>
      <c r="L16" t="s">
        <v>425</v>
      </c>
      <c r="M16" t="str">
        <f t="shared" si="2"/>
        <v>Ander2</v>
      </c>
      <c r="N16">
        <f t="shared" si="3"/>
        <v>110</v>
      </c>
      <c r="O16">
        <f t="shared" si="10"/>
        <v>10</v>
      </c>
      <c r="P16">
        <f t="shared" ref="P16:Q16" si="23">O16+5</f>
        <v>15</v>
      </c>
      <c r="Q16">
        <f t="shared" si="23"/>
        <v>20</v>
      </c>
      <c r="R16" s="18" t="s">
        <v>430</v>
      </c>
      <c r="S16" s="18" t="s">
        <v>431</v>
      </c>
      <c r="W16" s="18" t="s">
        <v>453</v>
      </c>
      <c r="Y16" t="s">
        <v>415</v>
      </c>
      <c r="AA16" t="s">
        <v>378</v>
      </c>
      <c r="AJ16" t="s">
        <v>364</v>
      </c>
      <c r="AK16">
        <f t="shared" si="12"/>
        <v>120</v>
      </c>
      <c r="AL16">
        <v>1000</v>
      </c>
      <c r="AM16">
        <f t="shared" si="4"/>
        <v>1234576</v>
      </c>
      <c r="AN16">
        <f t="shared" si="4"/>
        <v>12354</v>
      </c>
      <c r="AO16" s="18" t="s">
        <v>454</v>
      </c>
      <c r="AP16" t="s">
        <v>455</v>
      </c>
      <c r="AQ16" s="18" t="s">
        <v>457</v>
      </c>
      <c r="AR16" t="s">
        <v>456</v>
      </c>
      <c r="AY16" t="s">
        <v>458</v>
      </c>
      <c r="AZ16" t="s">
        <v>487</v>
      </c>
      <c r="BA16" t="s">
        <v>613</v>
      </c>
      <c r="BB16" t="s">
        <v>488</v>
      </c>
      <c r="BC16" t="s">
        <v>459</v>
      </c>
      <c r="BD16" t="s">
        <v>489</v>
      </c>
      <c r="DG16" t="str">
        <f t="shared" si="5"/>
        <v>appliances | Blau | S | title_de</v>
      </c>
      <c r="DH16" t="str">
        <f t="shared" si="5"/>
        <v>appliances | Blau | S | description_de</v>
      </c>
      <c r="DI16" t="str">
        <f t="shared" si="5"/>
        <v>appliances | Blau | S | bullet1_de</v>
      </c>
      <c r="DJ16" t="str">
        <f t="shared" si="5"/>
        <v>appliances | Blau | S | bullet2_de</v>
      </c>
      <c r="DK16" t="str">
        <f t="shared" si="5"/>
        <v>appliances | Blau | S | bullet3_de</v>
      </c>
      <c r="DL16" t="str">
        <f t="shared" si="20"/>
        <v>appliances | Blau | S | bullet4_de</v>
      </c>
      <c r="DM16" t="str">
        <f t="shared" si="6"/>
        <v>appliances | Blau | S | bullet5_de</v>
      </c>
      <c r="DN16" t="str">
        <f t="shared" si="6"/>
        <v>appliances | Blau | S | seo_title_de</v>
      </c>
      <c r="DO16" t="str">
        <f t="shared" si="6"/>
        <v>appliances | Blau | S | seo_description_de</v>
      </c>
      <c r="DP16" t="str">
        <f t="shared" si="18"/>
        <v>appliances | Blau | S | seo_keywords_de</v>
      </c>
      <c r="DQ16" t="str">
        <f t="shared" si="18"/>
        <v>appliances | Blau | S | title_en</v>
      </c>
      <c r="DR16" t="str">
        <f t="shared" si="18"/>
        <v>appliances | Blau | S | description_en</v>
      </c>
      <c r="DS16" t="str">
        <f t="shared" si="18"/>
        <v>appliances | Blau | S | bullet1_en</v>
      </c>
      <c r="DT16" t="str">
        <f t="shared" si="18"/>
        <v>appliances | Blau | S | bullet2_en</v>
      </c>
      <c r="DU16" t="str">
        <f t="shared" si="18"/>
        <v>appliances | Blau | S | bullet3_en</v>
      </c>
      <c r="DV16" t="str">
        <f t="shared" si="18"/>
        <v>appliances | Blau | S | bullet4_en</v>
      </c>
      <c r="DW16" t="str">
        <f t="shared" si="18"/>
        <v>appliances | Blau | S | bullet5_en</v>
      </c>
      <c r="DX16" t="str">
        <f t="shared" si="18"/>
        <v>appliances | Blau | S | seo_title_en</v>
      </c>
      <c r="DY16" t="str">
        <f t="shared" si="18"/>
        <v>appliances | Blau | S | seo_description_en</v>
      </c>
      <c r="DZ16" t="str">
        <f t="shared" si="18"/>
        <v>appliances | Blau | S | seo_keywords_en</v>
      </c>
      <c r="EA16" t="str">
        <f t="shared" si="18"/>
        <v>appliances | Blau | S | title_tr</v>
      </c>
      <c r="EB16" t="str">
        <f t="shared" si="18"/>
        <v>appliances | Blau | S | description_tr</v>
      </c>
      <c r="EC16" t="str">
        <f t="shared" si="18"/>
        <v>appliances | Blau | S | bullet1_tr</v>
      </c>
      <c r="ED16" t="str">
        <f t="shared" si="18"/>
        <v>appliances | Blau | S | bullet2_tr</v>
      </c>
      <c r="EE16" t="str">
        <f t="shared" si="18"/>
        <v>appliances | Blau | S | bullet3_tr</v>
      </c>
      <c r="EF16" t="str">
        <f t="shared" si="18"/>
        <v>appliances | Blau | S | bullet4_tr</v>
      </c>
      <c r="EG16" t="str">
        <f t="shared" si="18"/>
        <v>appliances | Blau | S | bullet5_tr</v>
      </c>
      <c r="EH16" t="str">
        <f t="shared" si="18"/>
        <v>appliances | Blau | S | seo_title_tr</v>
      </c>
      <c r="EI16" t="str">
        <f t="shared" si="18"/>
        <v>appliances | Blau | S | seo_description_tr</v>
      </c>
      <c r="EJ16" t="str">
        <f t="shared" si="18"/>
        <v>appliances | Blau | S | seo_keywords_tr</v>
      </c>
      <c r="EK16" t="str">
        <f t="shared" si="18"/>
        <v>appliances | Blau | S | title_fr</v>
      </c>
      <c r="EL16" t="str">
        <f t="shared" si="18"/>
        <v>appliances | Blau | S | description_fr</v>
      </c>
      <c r="EM16" t="str">
        <f t="shared" si="18"/>
        <v>appliances | Blau | S | bullet1_fr</v>
      </c>
      <c r="EN16" t="str">
        <f t="shared" si="18"/>
        <v>appliances | Blau | S | bullet2_fr</v>
      </c>
      <c r="EO16" t="str">
        <f t="shared" si="18"/>
        <v>appliances | Blau | S | bullet3_fr</v>
      </c>
      <c r="EP16" t="str">
        <f t="shared" si="18"/>
        <v>appliances | Blau | S | bullet4_fr</v>
      </c>
      <c r="EQ16" t="str">
        <f t="shared" si="18"/>
        <v>appliances | Blau | S | bullet5_fr</v>
      </c>
      <c r="ER16" t="str">
        <f t="shared" si="18"/>
        <v>appliances | Blau | S | seo_title_fr</v>
      </c>
      <c r="ES16" t="str">
        <f t="shared" si="18"/>
        <v>appliances | Blau | S | seo_description_fr</v>
      </c>
      <c r="ET16" t="str">
        <f t="shared" si="18"/>
        <v>appliances | Blau | S | seo_keywords_fr</v>
      </c>
      <c r="EU16" t="str">
        <f t="shared" si="18"/>
        <v>appliances | Blau | S | title_it</v>
      </c>
      <c r="EV16" t="str">
        <f t="shared" si="18"/>
        <v>appliances | Blau | S | description_it</v>
      </c>
      <c r="EW16" t="str">
        <f t="shared" si="18"/>
        <v>appliances | Blau | S | bullet1_it</v>
      </c>
      <c r="EX16" t="str">
        <f t="shared" si="18"/>
        <v>appliances | Blau | S | bullet2_it</v>
      </c>
      <c r="EY16" t="str">
        <f t="shared" si="18"/>
        <v>appliances | Blau | S | bullet3_it</v>
      </c>
      <c r="EZ16" t="str">
        <f t="shared" si="18"/>
        <v>appliances | Blau | S | bullet4_it</v>
      </c>
      <c r="FA16" t="str">
        <f t="shared" si="18"/>
        <v>appliances | Blau | S | bullet5_it</v>
      </c>
      <c r="FB16" t="str">
        <f t="shared" si="18"/>
        <v>appliances | Blau | S | seo_title_it</v>
      </c>
      <c r="FC16" t="str">
        <f t="shared" si="18"/>
        <v>appliances | Blau | S | seo_description_it</v>
      </c>
      <c r="FD16" t="str">
        <f t="shared" si="18"/>
        <v>appliances | Blau | S | seo_keywords_it</v>
      </c>
      <c r="FE16" t="str">
        <f t="shared" si="18"/>
        <v>appliances | Blau | S | title_es</v>
      </c>
      <c r="FF16" t="str">
        <f t="shared" si="18"/>
        <v>appliances | Blau | S | description_es</v>
      </c>
      <c r="FG16" t="str">
        <f t="shared" si="18"/>
        <v>appliances | Blau | S | bullet1_es</v>
      </c>
      <c r="FH16" t="str">
        <f t="shared" si="18"/>
        <v>appliances | Blau | S | bullet2_es</v>
      </c>
      <c r="FI16" t="str">
        <f t="shared" si="18"/>
        <v>appliances | Blau | S | bullet3_es</v>
      </c>
      <c r="FJ16" t="str">
        <f t="shared" si="18"/>
        <v>appliances | Blau | S | bullet4_es</v>
      </c>
      <c r="FK16" t="str">
        <f t="shared" si="18"/>
        <v>appliances | Blau | S | bullet5_es</v>
      </c>
      <c r="FL16" t="str">
        <f t="shared" si="18"/>
        <v>appliances | Blau | S | seo_title_es</v>
      </c>
      <c r="FM16" t="str">
        <f t="shared" si="18"/>
        <v>appliances | Blau | S | seo_description_es</v>
      </c>
      <c r="FN16" t="str">
        <f t="shared" si="18"/>
        <v>appliances | Blau | S | seo_keywords_es</v>
      </c>
      <c r="FO16">
        <f t="shared" si="13"/>
        <v>18.990000000000002</v>
      </c>
      <c r="FP16">
        <f t="shared" si="7"/>
        <v>21.990000000000002</v>
      </c>
      <c r="FQ16">
        <f t="shared" si="8"/>
        <v>16.990000000000002</v>
      </c>
    </row>
    <row r="17" spans="1:173" x14ac:dyDescent="0.35">
      <c r="A17" t="s">
        <v>372</v>
      </c>
      <c r="B17" t="str">
        <f t="shared" si="1"/>
        <v>eco-parent1-160526-Blau-M</v>
      </c>
      <c r="C17" t="s">
        <v>419</v>
      </c>
      <c r="D17" t="s">
        <v>354</v>
      </c>
      <c r="E17">
        <f t="shared" si="9"/>
        <v>1234567900</v>
      </c>
      <c r="F17">
        <f t="shared" si="15"/>
        <v>100</v>
      </c>
      <c r="G17" t="s">
        <v>357</v>
      </c>
      <c r="H17" t="s">
        <v>416</v>
      </c>
      <c r="I17" t="s">
        <v>359</v>
      </c>
      <c r="J17" t="s">
        <v>360</v>
      </c>
      <c r="K17" t="s">
        <v>422</v>
      </c>
      <c r="L17" t="s">
        <v>425</v>
      </c>
      <c r="M17" t="str">
        <f t="shared" si="2"/>
        <v>Ander2</v>
      </c>
      <c r="N17">
        <f t="shared" si="3"/>
        <v>111</v>
      </c>
      <c r="O17">
        <f t="shared" si="10"/>
        <v>11</v>
      </c>
      <c r="P17">
        <f t="shared" ref="P17:Q17" si="24">O17+5</f>
        <v>16</v>
      </c>
      <c r="Q17">
        <f t="shared" si="24"/>
        <v>21</v>
      </c>
      <c r="R17" s="18" t="s">
        <v>430</v>
      </c>
      <c r="S17" s="18" t="s">
        <v>431</v>
      </c>
      <c r="W17" s="18" t="s">
        <v>453</v>
      </c>
      <c r="Y17" t="s">
        <v>415</v>
      </c>
      <c r="AA17" t="s">
        <v>381</v>
      </c>
      <c r="AJ17" t="s">
        <v>364</v>
      </c>
      <c r="AK17">
        <f t="shared" si="12"/>
        <v>121</v>
      </c>
      <c r="AL17">
        <v>1000</v>
      </c>
      <c r="AM17">
        <f t="shared" si="4"/>
        <v>1234577</v>
      </c>
      <c r="AN17">
        <f t="shared" si="4"/>
        <v>12355</v>
      </c>
      <c r="AO17" s="18" t="s">
        <v>454</v>
      </c>
      <c r="AP17" t="s">
        <v>455</v>
      </c>
      <c r="AQ17" s="18" t="s">
        <v>457</v>
      </c>
      <c r="AR17" t="s">
        <v>456</v>
      </c>
      <c r="AY17" t="s">
        <v>458</v>
      </c>
      <c r="AZ17" t="s">
        <v>490</v>
      </c>
      <c r="BA17" t="s">
        <v>613</v>
      </c>
      <c r="BB17" t="s">
        <v>491</v>
      </c>
      <c r="BC17" t="s">
        <v>459</v>
      </c>
      <c r="BD17" t="s">
        <v>492</v>
      </c>
      <c r="DG17" t="str">
        <f t="shared" si="5"/>
        <v>appliances | Blau | M | title_de</v>
      </c>
      <c r="DH17" t="str">
        <f t="shared" si="5"/>
        <v>appliances | Blau | M | description_de</v>
      </c>
      <c r="DI17" t="str">
        <f t="shared" si="5"/>
        <v>appliances | Blau | M | bullet1_de</v>
      </c>
      <c r="DJ17" t="str">
        <f t="shared" si="5"/>
        <v>appliances | Blau | M | bullet2_de</v>
      </c>
      <c r="DK17" t="str">
        <f t="shared" si="5"/>
        <v>appliances | Blau | M | bullet3_de</v>
      </c>
      <c r="DL17" t="str">
        <f t="shared" si="20"/>
        <v>appliances | Blau | M | bullet4_de</v>
      </c>
      <c r="DM17" t="str">
        <f t="shared" si="6"/>
        <v>appliances | Blau | M | bullet5_de</v>
      </c>
      <c r="DN17" t="str">
        <f t="shared" si="6"/>
        <v>appliances | Blau | M | seo_title_de</v>
      </c>
      <c r="DO17" t="str">
        <f t="shared" si="6"/>
        <v>appliances | Blau | M | seo_description_de</v>
      </c>
      <c r="DP17" t="str">
        <f t="shared" si="18"/>
        <v>appliances | Blau | M | seo_keywords_de</v>
      </c>
      <c r="DQ17" t="str">
        <f t="shared" si="18"/>
        <v>appliances | Blau | M | title_en</v>
      </c>
      <c r="DR17" t="str">
        <f t="shared" si="18"/>
        <v>appliances | Blau | M | description_en</v>
      </c>
      <c r="DS17" t="str">
        <f t="shared" si="18"/>
        <v>appliances | Blau | M | bullet1_en</v>
      </c>
      <c r="DT17" t="str">
        <f t="shared" si="18"/>
        <v>appliances | Blau | M | bullet2_en</v>
      </c>
      <c r="DU17" t="str">
        <f t="shared" si="18"/>
        <v>appliances | Blau | M | bullet3_en</v>
      </c>
      <c r="DV17" t="str">
        <f t="shared" si="18"/>
        <v>appliances | Blau | M | bullet4_en</v>
      </c>
      <c r="DW17" t="str">
        <f t="shared" si="18"/>
        <v>appliances | Blau | M | bullet5_en</v>
      </c>
      <c r="DX17" t="str">
        <f t="shared" si="18"/>
        <v>appliances | Blau | M | seo_title_en</v>
      </c>
      <c r="DY17" t="str">
        <f t="shared" si="18"/>
        <v>appliances | Blau | M | seo_description_en</v>
      </c>
      <c r="DZ17" t="str">
        <f t="shared" si="18"/>
        <v>appliances | Blau | M | seo_keywords_en</v>
      </c>
      <c r="EA17" t="str">
        <f t="shared" si="18"/>
        <v>appliances | Blau | M | title_tr</v>
      </c>
      <c r="EB17" t="str">
        <f t="shared" si="18"/>
        <v>appliances | Blau | M | description_tr</v>
      </c>
      <c r="EC17" t="str">
        <f t="shared" ref="DP17:FN22" si="25">MID($I17,1,FIND("-",$I17,1)-1)&amp;" | "&amp;$Y17&amp;" | "&amp;$AA17&amp;" | "&amp;EC$2</f>
        <v>appliances | Blau | M | bullet1_tr</v>
      </c>
      <c r="ED17" t="str">
        <f t="shared" si="25"/>
        <v>appliances | Blau | M | bullet2_tr</v>
      </c>
      <c r="EE17" t="str">
        <f t="shared" si="25"/>
        <v>appliances | Blau | M | bullet3_tr</v>
      </c>
      <c r="EF17" t="str">
        <f t="shared" si="25"/>
        <v>appliances | Blau | M | bullet4_tr</v>
      </c>
      <c r="EG17" t="str">
        <f t="shared" si="25"/>
        <v>appliances | Blau | M | bullet5_tr</v>
      </c>
      <c r="EH17" t="str">
        <f t="shared" si="25"/>
        <v>appliances | Blau | M | seo_title_tr</v>
      </c>
      <c r="EI17" t="str">
        <f t="shared" si="25"/>
        <v>appliances | Blau | M | seo_description_tr</v>
      </c>
      <c r="EJ17" t="str">
        <f t="shared" si="25"/>
        <v>appliances | Blau | M | seo_keywords_tr</v>
      </c>
      <c r="EK17" t="str">
        <f t="shared" si="25"/>
        <v>appliances | Blau | M | title_fr</v>
      </c>
      <c r="EL17" t="str">
        <f t="shared" si="25"/>
        <v>appliances | Blau | M | description_fr</v>
      </c>
      <c r="EM17" t="str">
        <f t="shared" si="25"/>
        <v>appliances | Blau | M | bullet1_fr</v>
      </c>
      <c r="EN17" t="str">
        <f t="shared" si="25"/>
        <v>appliances | Blau | M | bullet2_fr</v>
      </c>
      <c r="EO17" t="str">
        <f t="shared" si="25"/>
        <v>appliances | Blau | M | bullet3_fr</v>
      </c>
      <c r="EP17" t="str">
        <f t="shared" si="25"/>
        <v>appliances | Blau | M | bullet4_fr</v>
      </c>
      <c r="EQ17" t="str">
        <f t="shared" si="25"/>
        <v>appliances | Blau | M | bullet5_fr</v>
      </c>
      <c r="ER17" t="str">
        <f t="shared" si="25"/>
        <v>appliances | Blau | M | seo_title_fr</v>
      </c>
      <c r="ES17" t="str">
        <f t="shared" si="25"/>
        <v>appliances | Blau | M | seo_description_fr</v>
      </c>
      <c r="ET17" t="str">
        <f t="shared" si="25"/>
        <v>appliances | Blau | M | seo_keywords_fr</v>
      </c>
      <c r="EU17" t="str">
        <f t="shared" si="25"/>
        <v>appliances | Blau | M | title_it</v>
      </c>
      <c r="EV17" t="str">
        <f t="shared" si="25"/>
        <v>appliances | Blau | M | description_it</v>
      </c>
      <c r="EW17" t="str">
        <f t="shared" si="25"/>
        <v>appliances | Blau | M | bullet1_it</v>
      </c>
      <c r="EX17" t="str">
        <f t="shared" si="25"/>
        <v>appliances | Blau | M | bullet2_it</v>
      </c>
      <c r="EY17" t="str">
        <f t="shared" si="25"/>
        <v>appliances | Blau | M | bullet3_it</v>
      </c>
      <c r="EZ17" t="str">
        <f t="shared" si="25"/>
        <v>appliances | Blau | M | bullet4_it</v>
      </c>
      <c r="FA17" t="str">
        <f t="shared" si="25"/>
        <v>appliances | Blau | M | bullet5_it</v>
      </c>
      <c r="FB17" t="str">
        <f t="shared" si="25"/>
        <v>appliances | Blau | M | seo_title_it</v>
      </c>
      <c r="FC17" t="str">
        <f t="shared" si="25"/>
        <v>appliances | Blau | M | seo_description_it</v>
      </c>
      <c r="FD17" t="str">
        <f t="shared" si="25"/>
        <v>appliances | Blau | M | seo_keywords_it</v>
      </c>
      <c r="FE17" t="str">
        <f t="shared" si="25"/>
        <v>appliances | Blau | M | title_es</v>
      </c>
      <c r="FF17" t="str">
        <f t="shared" si="25"/>
        <v>appliances | Blau | M | description_es</v>
      </c>
      <c r="FG17" t="str">
        <f t="shared" si="25"/>
        <v>appliances | Blau | M | bullet1_es</v>
      </c>
      <c r="FH17" t="str">
        <f t="shared" si="25"/>
        <v>appliances | Blau | M | bullet2_es</v>
      </c>
      <c r="FI17" t="str">
        <f t="shared" si="25"/>
        <v>appliances | Blau | M | bullet3_es</v>
      </c>
      <c r="FJ17" t="str">
        <f t="shared" si="25"/>
        <v>appliances | Blau | M | bullet4_es</v>
      </c>
      <c r="FK17" t="str">
        <f t="shared" si="25"/>
        <v>appliances | Blau | M | bullet5_es</v>
      </c>
      <c r="FL17" t="str">
        <f t="shared" si="25"/>
        <v>appliances | Blau | M | seo_title_es</v>
      </c>
      <c r="FM17" t="str">
        <f t="shared" si="25"/>
        <v>appliances | Blau | M | seo_description_es</v>
      </c>
      <c r="FN17" t="str">
        <f t="shared" si="25"/>
        <v>appliances | Blau | M | seo_keywords_es</v>
      </c>
      <c r="FO17">
        <f t="shared" si="13"/>
        <v>19.990000000000002</v>
      </c>
      <c r="FP17">
        <f t="shared" si="7"/>
        <v>22.990000000000002</v>
      </c>
      <c r="FQ17">
        <f t="shared" si="8"/>
        <v>17.990000000000002</v>
      </c>
    </row>
    <row r="18" spans="1:173" x14ac:dyDescent="0.35">
      <c r="A18" t="s">
        <v>372</v>
      </c>
      <c r="B18" t="str">
        <f t="shared" si="1"/>
        <v>eco-parent1-160526-Blau-L</v>
      </c>
      <c r="C18" t="s">
        <v>419</v>
      </c>
      <c r="D18" t="s">
        <v>354</v>
      </c>
      <c r="E18">
        <f t="shared" si="9"/>
        <v>1234567901</v>
      </c>
      <c r="F18">
        <f t="shared" si="15"/>
        <v>110</v>
      </c>
      <c r="G18" t="s">
        <v>357</v>
      </c>
      <c r="H18" t="s">
        <v>416</v>
      </c>
      <c r="I18" t="s">
        <v>359</v>
      </c>
      <c r="J18" t="s">
        <v>360</v>
      </c>
      <c r="K18" t="s">
        <v>422</v>
      </c>
      <c r="L18" t="s">
        <v>425</v>
      </c>
      <c r="M18" t="str">
        <f t="shared" si="2"/>
        <v>Ander2</v>
      </c>
      <c r="N18">
        <f t="shared" si="3"/>
        <v>112</v>
      </c>
      <c r="O18">
        <f t="shared" si="10"/>
        <v>12</v>
      </c>
      <c r="P18">
        <f t="shared" ref="P18:Q18" si="26">O18+5</f>
        <v>17</v>
      </c>
      <c r="Q18">
        <f t="shared" si="26"/>
        <v>22</v>
      </c>
      <c r="R18" s="18" t="s">
        <v>430</v>
      </c>
      <c r="S18" s="18" t="s">
        <v>431</v>
      </c>
      <c r="W18" s="18" t="s">
        <v>453</v>
      </c>
      <c r="Y18" t="s">
        <v>415</v>
      </c>
      <c r="AA18" t="s">
        <v>406</v>
      </c>
      <c r="AJ18" t="s">
        <v>364</v>
      </c>
      <c r="AK18">
        <f t="shared" si="12"/>
        <v>122</v>
      </c>
      <c r="AL18">
        <v>1000</v>
      </c>
      <c r="AM18">
        <f t="shared" si="4"/>
        <v>1234578</v>
      </c>
      <c r="AN18">
        <f t="shared" si="4"/>
        <v>12356</v>
      </c>
      <c r="AO18" s="18" t="s">
        <v>454</v>
      </c>
      <c r="AP18" t="s">
        <v>455</v>
      </c>
      <c r="AQ18" s="18" t="s">
        <v>457</v>
      </c>
      <c r="AR18" t="s">
        <v>456</v>
      </c>
      <c r="AY18" t="s">
        <v>458</v>
      </c>
      <c r="AZ18" t="s">
        <v>493</v>
      </c>
      <c r="BA18" t="s">
        <v>613</v>
      </c>
      <c r="BB18" t="s">
        <v>494</v>
      </c>
      <c r="BC18" t="s">
        <v>459</v>
      </c>
      <c r="BD18" t="s">
        <v>495</v>
      </c>
      <c r="DG18" t="str">
        <f t="shared" si="5"/>
        <v>appliances | Blau | L | title_de</v>
      </c>
      <c r="DH18" t="str">
        <f t="shared" si="5"/>
        <v>appliances | Blau | L | description_de</v>
      </c>
      <c r="DI18" t="str">
        <f t="shared" si="5"/>
        <v>appliances | Blau | L | bullet1_de</v>
      </c>
      <c r="DJ18" t="str">
        <f t="shared" si="5"/>
        <v>appliances | Blau | L | bullet2_de</v>
      </c>
      <c r="DK18" t="str">
        <f t="shared" si="5"/>
        <v>appliances | Blau | L | bullet3_de</v>
      </c>
      <c r="DL18" t="str">
        <f t="shared" si="20"/>
        <v>appliances | Blau | L | bullet4_de</v>
      </c>
      <c r="DM18" t="str">
        <f t="shared" si="6"/>
        <v>appliances | Blau | L | bullet5_de</v>
      </c>
      <c r="DN18" t="str">
        <f t="shared" si="6"/>
        <v>appliances | Blau | L | seo_title_de</v>
      </c>
      <c r="DO18" t="str">
        <f t="shared" si="6"/>
        <v>appliances | Blau | L | seo_description_de</v>
      </c>
      <c r="DP18" t="str">
        <f t="shared" si="25"/>
        <v>appliances | Blau | L | seo_keywords_de</v>
      </c>
      <c r="DQ18" t="str">
        <f t="shared" si="25"/>
        <v>appliances | Blau | L | title_en</v>
      </c>
      <c r="DR18" t="str">
        <f t="shared" si="25"/>
        <v>appliances | Blau | L | description_en</v>
      </c>
      <c r="DS18" t="str">
        <f t="shared" si="25"/>
        <v>appliances | Blau | L | bullet1_en</v>
      </c>
      <c r="DT18" t="str">
        <f t="shared" si="25"/>
        <v>appliances | Blau | L | bullet2_en</v>
      </c>
      <c r="DU18" t="str">
        <f t="shared" si="25"/>
        <v>appliances | Blau | L | bullet3_en</v>
      </c>
      <c r="DV18" t="str">
        <f t="shared" si="25"/>
        <v>appliances | Blau | L | bullet4_en</v>
      </c>
      <c r="DW18" t="str">
        <f t="shared" si="25"/>
        <v>appliances | Blau | L | bullet5_en</v>
      </c>
      <c r="DX18" t="str">
        <f t="shared" si="25"/>
        <v>appliances | Blau | L | seo_title_en</v>
      </c>
      <c r="DY18" t="str">
        <f t="shared" si="25"/>
        <v>appliances | Blau | L | seo_description_en</v>
      </c>
      <c r="DZ18" t="str">
        <f t="shared" si="25"/>
        <v>appliances | Blau | L | seo_keywords_en</v>
      </c>
      <c r="EA18" t="str">
        <f t="shared" si="25"/>
        <v>appliances | Blau | L | title_tr</v>
      </c>
      <c r="EB18" t="str">
        <f t="shared" si="25"/>
        <v>appliances | Blau | L | description_tr</v>
      </c>
      <c r="EC18" t="str">
        <f t="shared" si="25"/>
        <v>appliances | Blau | L | bullet1_tr</v>
      </c>
      <c r="ED18" t="str">
        <f t="shared" si="25"/>
        <v>appliances | Blau | L | bullet2_tr</v>
      </c>
      <c r="EE18" t="str">
        <f t="shared" si="25"/>
        <v>appliances | Blau | L | bullet3_tr</v>
      </c>
      <c r="EF18" t="str">
        <f t="shared" si="25"/>
        <v>appliances | Blau | L | bullet4_tr</v>
      </c>
      <c r="EG18" t="str">
        <f t="shared" si="25"/>
        <v>appliances | Blau | L | bullet5_tr</v>
      </c>
      <c r="EH18" t="str">
        <f t="shared" si="25"/>
        <v>appliances | Blau | L | seo_title_tr</v>
      </c>
      <c r="EI18" t="str">
        <f t="shared" si="25"/>
        <v>appliances | Blau | L | seo_description_tr</v>
      </c>
      <c r="EJ18" t="str">
        <f t="shared" si="25"/>
        <v>appliances | Blau | L | seo_keywords_tr</v>
      </c>
      <c r="EK18" t="str">
        <f t="shared" si="25"/>
        <v>appliances | Blau | L | title_fr</v>
      </c>
      <c r="EL18" t="str">
        <f t="shared" si="25"/>
        <v>appliances | Blau | L | description_fr</v>
      </c>
      <c r="EM18" t="str">
        <f t="shared" si="25"/>
        <v>appliances | Blau | L | bullet1_fr</v>
      </c>
      <c r="EN18" t="str">
        <f t="shared" si="25"/>
        <v>appliances | Blau | L | bullet2_fr</v>
      </c>
      <c r="EO18" t="str">
        <f t="shared" si="25"/>
        <v>appliances | Blau | L | bullet3_fr</v>
      </c>
      <c r="EP18" t="str">
        <f t="shared" si="25"/>
        <v>appliances | Blau | L | bullet4_fr</v>
      </c>
      <c r="EQ18" t="str">
        <f t="shared" si="25"/>
        <v>appliances | Blau | L | bullet5_fr</v>
      </c>
      <c r="ER18" t="str">
        <f t="shared" si="25"/>
        <v>appliances | Blau | L | seo_title_fr</v>
      </c>
      <c r="ES18" t="str">
        <f t="shared" si="25"/>
        <v>appliances | Blau | L | seo_description_fr</v>
      </c>
      <c r="ET18" t="str">
        <f t="shared" si="25"/>
        <v>appliances | Blau | L | seo_keywords_fr</v>
      </c>
      <c r="EU18" t="str">
        <f t="shared" si="25"/>
        <v>appliances | Blau | L | title_it</v>
      </c>
      <c r="EV18" t="str">
        <f t="shared" si="25"/>
        <v>appliances | Blau | L | description_it</v>
      </c>
      <c r="EW18" t="str">
        <f t="shared" si="25"/>
        <v>appliances | Blau | L | bullet1_it</v>
      </c>
      <c r="EX18" t="str">
        <f t="shared" si="25"/>
        <v>appliances | Blau | L | bullet2_it</v>
      </c>
      <c r="EY18" t="str">
        <f t="shared" si="25"/>
        <v>appliances | Blau | L | bullet3_it</v>
      </c>
      <c r="EZ18" t="str">
        <f t="shared" si="25"/>
        <v>appliances | Blau | L | bullet4_it</v>
      </c>
      <c r="FA18" t="str">
        <f t="shared" si="25"/>
        <v>appliances | Blau | L | bullet5_it</v>
      </c>
      <c r="FB18" t="str">
        <f t="shared" si="25"/>
        <v>appliances | Blau | L | seo_title_it</v>
      </c>
      <c r="FC18" t="str">
        <f t="shared" si="25"/>
        <v>appliances | Blau | L | seo_description_it</v>
      </c>
      <c r="FD18" t="str">
        <f t="shared" si="25"/>
        <v>appliances | Blau | L | seo_keywords_it</v>
      </c>
      <c r="FE18" t="str">
        <f t="shared" si="25"/>
        <v>appliances | Blau | L | title_es</v>
      </c>
      <c r="FF18" t="str">
        <f t="shared" si="25"/>
        <v>appliances | Blau | L | description_es</v>
      </c>
      <c r="FG18" t="str">
        <f t="shared" si="25"/>
        <v>appliances | Blau | L | bullet1_es</v>
      </c>
      <c r="FH18" t="str">
        <f t="shared" si="25"/>
        <v>appliances | Blau | L | bullet2_es</v>
      </c>
      <c r="FI18" t="str">
        <f t="shared" si="25"/>
        <v>appliances | Blau | L | bullet3_es</v>
      </c>
      <c r="FJ18" t="str">
        <f t="shared" si="25"/>
        <v>appliances | Blau | L | bullet4_es</v>
      </c>
      <c r="FK18" t="str">
        <f t="shared" si="25"/>
        <v>appliances | Blau | L | bullet5_es</v>
      </c>
      <c r="FL18" t="str">
        <f t="shared" si="25"/>
        <v>appliances | Blau | L | seo_title_es</v>
      </c>
      <c r="FM18" t="str">
        <f t="shared" si="25"/>
        <v>appliances | Blau | L | seo_description_es</v>
      </c>
      <c r="FN18" t="str">
        <f t="shared" si="25"/>
        <v>appliances | Blau | L | seo_keywords_es</v>
      </c>
      <c r="FO18">
        <f t="shared" si="13"/>
        <v>20.990000000000002</v>
      </c>
      <c r="FP18">
        <f t="shared" si="7"/>
        <v>23.990000000000002</v>
      </c>
      <c r="FQ18">
        <f t="shared" si="8"/>
        <v>18.990000000000002</v>
      </c>
    </row>
    <row r="19" spans="1:173" x14ac:dyDescent="0.35">
      <c r="A19" t="s">
        <v>372</v>
      </c>
      <c r="B19" t="str">
        <f t="shared" si="1"/>
        <v>eco-parent1-160526-Blau-XL</v>
      </c>
      <c r="C19" t="s">
        <v>419</v>
      </c>
      <c r="D19" t="s">
        <v>354</v>
      </c>
      <c r="E19">
        <f t="shared" si="9"/>
        <v>1234567902</v>
      </c>
      <c r="F19">
        <f t="shared" si="15"/>
        <v>120</v>
      </c>
      <c r="G19" t="s">
        <v>357</v>
      </c>
      <c r="H19" t="s">
        <v>416</v>
      </c>
      <c r="I19" t="s">
        <v>359</v>
      </c>
      <c r="J19" t="s">
        <v>360</v>
      </c>
      <c r="K19" t="s">
        <v>422</v>
      </c>
      <c r="L19" t="s">
        <v>425</v>
      </c>
      <c r="M19" t="str">
        <f t="shared" si="2"/>
        <v>Ander2</v>
      </c>
      <c r="N19">
        <f t="shared" si="3"/>
        <v>113</v>
      </c>
      <c r="O19">
        <f t="shared" si="10"/>
        <v>13</v>
      </c>
      <c r="P19">
        <f t="shared" ref="P19:Q19" si="27">O19+5</f>
        <v>18</v>
      </c>
      <c r="Q19">
        <f t="shared" si="27"/>
        <v>23</v>
      </c>
      <c r="R19" s="18" t="s">
        <v>430</v>
      </c>
      <c r="S19" s="18" t="s">
        <v>431</v>
      </c>
      <c r="W19" s="18" t="s">
        <v>453</v>
      </c>
      <c r="Y19" t="s">
        <v>415</v>
      </c>
      <c r="AA19" t="s">
        <v>412</v>
      </c>
      <c r="AJ19" t="s">
        <v>364</v>
      </c>
      <c r="AK19">
        <f t="shared" si="12"/>
        <v>123</v>
      </c>
      <c r="AL19">
        <v>1000</v>
      </c>
      <c r="AM19">
        <f t="shared" si="4"/>
        <v>1234579</v>
      </c>
      <c r="AN19">
        <f t="shared" si="4"/>
        <v>12357</v>
      </c>
      <c r="AO19" s="18" t="s">
        <v>454</v>
      </c>
      <c r="AP19" t="s">
        <v>455</v>
      </c>
      <c r="AQ19" s="18" t="s">
        <v>457</v>
      </c>
      <c r="AR19" t="s">
        <v>456</v>
      </c>
      <c r="AY19" t="s">
        <v>458</v>
      </c>
      <c r="AZ19" t="s">
        <v>496</v>
      </c>
      <c r="BA19" t="s">
        <v>613</v>
      </c>
      <c r="BB19" t="s">
        <v>497</v>
      </c>
      <c r="BC19" t="s">
        <v>459</v>
      </c>
      <c r="BD19" t="s">
        <v>498</v>
      </c>
      <c r="DG19" t="str">
        <f t="shared" si="5"/>
        <v>appliances | Blau | XL | title_de</v>
      </c>
      <c r="DH19" t="str">
        <f t="shared" si="5"/>
        <v>appliances | Blau | XL | description_de</v>
      </c>
      <c r="DI19" t="str">
        <f t="shared" si="5"/>
        <v>appliances | Blau | XL | bullet1_de</v>
      </c>
      <c r="DJ19" t="str">
        <f t="shared" si="5"/>
        <v>appliances | Blau | XL | bullet2_de</v>
      </c>
      <c r="DK19" t="str">
        <f t="shared" si="5"/>
        <v>appliances | Blau | XL | bullet3_de</v>
      </c>
      <c r="DL19" t="str">
        <f t="shared" si="20"/>
        <v>appliances | Blau | XL | bullet4_de</v>
      </c>
      <c r="DM19" t="str">
        <f t="shared" si="6"/>
        <v>appliances | Blau | XL | bullet5_de</v>
      </c>
      <c r="DN19" t="str">
        <f t="shared" si="6"/>
        <v>appliances | Blau | XL | seo_title_de</v>
      </c>
      <c r="DO19" t="str">
        <f t="shared" si="6"/>
        <v>appliances | Blau | XL | seo_description_de</v>
      </c>
      <c r="DP19" t="str">
        <f t="shared" si="25"/>
        <v>appliances | Blau | XL | seo_keywords_de</v>
      </c>
      <c r="DQ19" t="str">
        <f t="shared" si="25"/>
        <v>appliances | Blau | XL | title_en</v>
      </c>
      <c r="DR19" t="str">
        <f t="shared" si="25"/>
        <v>appliances | Blau | XL | description_en</v>
      </c>
      <c r="DS19" t="str">
        <f t="shared" si="25"/>
        <v>appliances | Blau | XL | bullet1_en</v>
      </c>
      <c r="DT19" t="str">
        <f t="shared" si="25"/>
        <v>appliances | Blau | XL | bullet2_en</v>
      </c>
      <c r="DU19" t="str">
        <f t="shared" si="25"/>
        <v>appliances | Blau | XL | bullet3_en</v>
      </c>
      <c r="DV19" t="str">
        <f t="shared" si="25"/>
        <v>appliances | Blau | XL | bullet4_en</v>
      </c>
      <c r="DW19" t="str">
        <f t="shared" si="25"/>
        <v>appliances | Blau | XL | bullet5_en</v>
      </c>
      <c r="DX19" t="str">
        <f t="shared" si="25"/>
        <v>appliances | Blau | XL | seo_title_en</v>
      </c>
      <c r="DY19" t="str">
        <f t="shared" si="25"/>
        <v>appliances | Blau | XL | seo_description_en</v>
      </c>
      <c r="DZ19" t="str">
        <f t="shared" si="25"/>
        <v>appliances | Blau | XL | seo_keywords_en</v>
      </c>
      <c r="EA19" t="str">
        <f t="shared" si="25"/>
        <v>appliances | Blau | XL | title_tr</v>
      </c>
      <c r="EB19" t="str">
        <f t="shared" si="25"/>
        <v>appliances | Blau | XL | description_tr</v>
      </c>
      <c r="EC19" t="str">
        <f t="shared" si="25"/>
        <v>appliances | Blau | XL | bullet1_tr</v>
      </c>
      <c r="ED19" t="str">
        <f t="shared" si="25"/>
        <v>appliances | Blau | XL | bullet2_tr</v>
      </c>
      <c r="EE19" t="str">
        <f t="shared" si="25"/>
        <v>appliances | Blau | XL | bullet3_tr</v>
      </c>
      <c r="EF19" t="str">
        <f t="shared" si="25"/>
        <v>appliances | Blau | XL | bullet4_tr</v>
      </c>
      <c r="EG19" t="str">
        <f t="shared" si="25"/>
        <v>appliances | Blau | XL | bullet5_tr</v>
      </c>
      <c r="EH19" t="str">
        <f t="shared" si="25"/>
        <v>appliances | Blau | XL | seo_title_tr</v>
      </c>
      <c r="EI19" t="str">
        <f t="shared" si="25"/>
        <v>appliances | Blau | XL | seo_description_tr</v>
      </c>
      <c r="EJ19" t="str">
        <f t="shared" si="25"/>
        <v>appliances | Blau | XL | seo_keywords_tr</v>
      </c>
      <c r="EK19" t="str">
        <f t="shared" si="25"/>
        <v>appliances | Blau | XL | title_fr</v>
      </c>
      <c r="EL19" t="str">
        <f t="shared" si="25"/>
        <v>appliances | Blau | XL | description_fr</v>
      </c>
      <c r="EM19" t="str">
        <f t="shared" si="25"/>
        <v>appliances | Blau | XL | bullet1_fr</v>
      </c>
      <c r="EN19" t="str">
        <f t="shared" si="25"/>
        <v>appliances | Blau | XL | bullet2_fr</v>
      </c>
      <c r="EO19" t="str">
        <f t="shared" si="25"/>
        <v>appliances | Blau | XL | bullet3_fr</v>
      </c>
      <c r="EP19" t="str">
        <f t="shared" si="25"/>
        <v>appliances | Blau | XL | bullet4_fr</v>
      </c>
      <c r="EQ19" t="str">
        <f t="shared" si="25"/>
        <v>appliances | Blau | XL | bullet5_fr</v>
      </c>
      <c r="ER19" t="str">
        <f t="shared" si="25"/>
        <v>appliances | Blau | XL | seo_title_fr</v>
      </c>
      <c r="ES19" t="str">
        <f t="shared" si="25"/>
        <v>appliances | Blau | XL | seo_description_fr</v>
      </c>
      <c r="ET19" t="str">
        <f t="shared" si="25"/>
        <v>appliances | Blau | XL | seo_keywords_fr</v>
      </c>
      <c r="EU19" t="str">
        <f t="shared" si="25"/>
        <v>appliances | Blau | XL | title_it</v>
      </c>
      <c r="EV19" t="str">
        <f t="shared" si="25"/>
        <v>appliances | Blau | XL | description_it</v>
      </c>
      <c r="EW19" t="str">
        <f t="shared" si="25"/>
        <v>appliances | Blau | XL | bullet1_it</v>
      </c>
      <c r="EX19" t="str">
        <f t="shared" si="25"/>
        <v>appliances | Blau | XL | bullet2_it</v>
      </c>
      <c r="EY19" t="str">
        <f t="shared" si="25"/>
        <v>appliances | Blau | XL | bullet3_it</v>
      </c>
      <c r="EZ19" t="str">
        <f t="shared" si="25"/>
        <v>appliances | Blau | XL | bullet4_it</v>
      </c>
      <c r="FA19" t="str">
        <f t="shared" si="25"/>
        <v>appliances | Blau | XL | bullet5_it</v>
      </c>
      <c r="FB19" t="str">
        <f t="shared" si="25"/>
        <v>appliances | Blau | XL | seo_title_it</v>
      </c>
      <c r="FC19" t="str">
        <f t="shared" si="25"/>
        <v>appliances | Blau | XL | seo_description_it</v>
      </c>
      <c r="FD19" t="str">
        <f t="shared" si="25"/>
        <v>appliances | Blau | XL | seo_keywords_it</v>
      </c>
      <c r="FE19" t="str">
        <f t="shared" si="25"/>
        <v>appliances | Blau | XL | title_es</v>
      </c>
      <c r="FF19" t="str">
        <f t="shared" si="25"/>
        <v>appliances | Blau | XL | description_es</v>
      </c>
      <c r="FG19" t="str">
        <f t="shared" si="25"/>
        <v>appliances | Blau | XL | bullet1_es</v>
      </c>
      <c r="FH19" t="str">
        <f t="shared" si="25"/>
        <v>appliances | Blau | XL | bullet2_es</v>
      </c>
      <c r="FI19" t="str">
        <f t="shared" si="25"/>
        <v>appliances | Blau | XL | bullet3_es</v>
      </c>
      <c r="FJ19" t="str">
        <f t="shared" si="25"/>
        <v>appliances | Blau | XL | bullet4_es</v>
      </c>
      <c r="FK19" t="str">
        <f t="shared" si="25"/>
        <v>appliances | Blau | XL | bullet5_es</v>
      </c>
      <c r="FL19" t="str">
        <f t="shared" si="25"/>
        <v>appliances | Blau | XL | seo_title_es</v>
      </c>
      <c r="FM19" t="str">
        <f t="shared" si="25"/>
        <v>appliances | Blau | XL | seo_description_es</v>
      </c>
      <c r="FN19" t="str">
        <f t="shared" si="25"/>
        <v>appliances | Blau | XL | seo_keywords_es</v>
      </c>
      <c r="FO19">
        <f t="shared" si="13"/>
        <v>21.990000000000002</v>
      </c>
      <c r="FP19">
        <f t="shared" si="7"/>
        <v>24.990000000000002</v>
      </c>
      <c r="FQ19">
        <f t="shared" si="8"/>
        <v>19.990000000000002</v>
      </c>
    </row>
    <row r="20" spans="1:173" x14ac:dyDescent="0.35">
      <c r="A20" t="s">
        <v>372</v>
      </c>
      <c r="B20" t="str">
        <f t="shared" si="1"/>
        <v>eco-parent1-160526-Rot-S</v>
      </c>
      <c r="C20" t="s">
        <v>419</v>
      </c>
      <c r="D20" t="s">
        <v>354</v>
      </c>
      <c r="E20">
        <f t="shared" si="9"/>
        <v>1234567903</v>
      </c>
      <c r="F20">
        <f t="shared" si="15"/>
        <v>130</v>
      </c>
      <c r="G20" t="s">
        <v>357</v>
      </c>
      <c r="H20" t="s">
        <v>416</v>
      </c>
      <c r="I20" t="s">
        <v>359</v>
      </c>
      <c r="J20" t="s">
        <v>360</v>
      </c>
      <c r="K20" t="s">
        <v>422</v>
      </c>
      <c r="L20" t="s">
        <v>425</v>
      </c>
      <c r="M20" t="str">
        <f t="shared" si="2"/>
        <v>Ander2</v>
      </c>
      <c r="N20">
        <f t="shared" si="3"/>
        <v>114</v>
      </c>
      <c r="O20">
        <f t="shared" si="10"/>
        <v>14</v>
      </c>
      <c r="P20">
        <f t="shared" ref="P20:Q20" si="28">O20+5</f>
        <v>19</v>
      </c>
      <c r="Q20">
        <f t="shared" si="28"/>
        <v>24</v>
      </c>
      <c r="R20" s="18" t="s">
        <v>432</v>
      </c>
      <c r="S20" s="18" t="s">
        <v>433</v>
      </c>
      <c r="W20" s="18" t="s">
        <v>452</v>
      </c>
      <c r="Y20" t="s">
        <v>377</v>
      </c>
      <c r="AA20" t="s">
        <v>378</v>
      </c>
      <c r="AJ20" t="s">
        <v>364</v>
      </c>
      <c r="AK20">
        <f t="shared" si="12"/>
        <v>124</v>
      </c>
      <c r="AL20">
        <v>1000</v>
      </c>
      <c r="AM20">
        <f t="shared" si="4"/>
        <v>1234580</v>
      </c>
      <c r="AN20">
        <f t="shared" si="4"/>
        <v>12358</v>
      </c>
      <c r="AO20" s="18" t="s">
        <v>454</v>
      </c>
      <c r="AP20" t="s">
        <v>455</v>
      </c>
      <c r="AQ20" s="18" t="s">
        <v>457</v>
      </c>
      <c r="AR20" t="s">
        <v>456</v>
      </c>
      <c r="AY20" t="s">
        <v>458</v>
      </c>
      <c r="AZ20" t="s">
        <v>499</v>
      </c>
      <c r="BA20" t="s">
        <v>613</v>
      </c>
      <c r="BB20" t="s">
        <v>500</v>
      </c>
      <c r="BC20" t="s">
        <v>459</v>
      </c>
      <c r="BD20" t="s">
        <v>501</v>
      </c>
      <c r="DG20" t="str">
        <f t="shared" si="5"/>
        <v>appliances | Rot | S | title_de</v>
      </c>
      <c r="DH20" t="str">
        <f t="shared" si="5"/>
        <v>appliances | Rot | S | description_de</v>
      </c>
      <c r="DI20" t="str">
        <f t="shared" si="5"/>
        <v>appliances | Rot | S | bullet1_de</v>
      </c>
      <c r="DJ20" t="str">
        <f t="shared" si="5"/>
        <v>appliances | Rot | S | bullet2_de</v>
      </c>
      <c r="DK20" t="str">
        <f t="shared" si="5"/>
        <v>appliances | Rot | S | bullet3_de</v>
      </c>
      <c r="DL20" t="str">
        <f t="shared" si="20"/>
        <v>appliances | Rot | S | bullet4_de</v>
      </c>
      <c r="DM20" t="str">
        <f t="shared" si="6"/>
        <v>appliances | Rot | S | bullet5_de</v>
      </c>
      <c r="DN20" t="str">
        <f t="shared" si="6"/>
        <v>appliances | Rot | S | seo_title_de</v>
      </c>
      <c r="DO20" t="str">
        <f t="shared" si="6"/>
        <v>appliances | Rot | S | seo_description_de</v>
      </c>
      <c r="DP20" t="str">
        <f t="shared" si="25"/>
        <v>appliances | Rot | S | seo_keywords_de</v>
      </c>
      <c r="DQ20" t="str">
        <f t="shared" si="25"/>
        <v>appliances | Rot | S | title_en</v>
      </c>
      <c r="DR20" t="str">
        <f t="shared" si="25"/>
        <v>appliances | Rot | S | description_en</v>
      </c>
      <c r="DS20" t="str">
        <f t="shared" si="25"/>
        <v>appliances | Rot | S | bullet1_en</v>
      </c>
      <c r="DT20" t="str">
        <f t="shared" si="25"/>
        <v>appliances | Rot | S | bullet2_en</v>
      </c>
      <c r="DU20" t="str">
        <f t="shared" si="25"/>
        <v>appliances | Rot | S | bullet3_en</v>
      </c>
      <c r="DV20" t="str">
        <f t="shared" si="25"/>
        <v>appliances | Rot | S | bullet4_en</v>
      </c>
      <c r="DW20" t="str">
        <f t="shared" si="25"/>
        <v>appliances | Rot | S | bullet5_en</v>
      </c>
      <c r="DX20" t="str">
        <f t="shared" si="25"/>
        <v>appliances | Rot | S | seo_title_en</v>
      </c>
      <c r="DY20" t="str">
        <f t="shared" si="25"/>
        <v>appliances | Rot | S | seo_description_en</v>
      </c>
      <c r="DZ20" t="str">
        <f t="shared" si="25"/>
        <v>appliances | Rot | S | seo_keywords_en</v>
      </c>
      <c r="EA20" t="str">
        <f t="shared" si="25"/>
        <v>appliances | Rot | S | title_tr</v>
      </c>
      <c r="EB20" t="str">
        <f t="shared" si="25"/>
        <v>appliances | Rot | S | description_tr</v>
      </c>
      <c r="EC20" t="str">
        <f t="shared" si="25"/>
        <v>appliances | Rot | S | bullet1_tr</v>
      </c>
      <c r="ED20" t="str">
        <f t="shared" si="25"/>
        <v>appliances | Rot | S | bullet2_tr</v>
      </c>
      <c r="EE20" t="str">
        <f t="shared" si="25"/>
        <v>appliances | Rot | S | bullet3_tr</v>
      </c>
      <c r="EF20" t="str">
        <f t="shared" si="25"/>
        <v>appliances | Rot | S | bullet4_tr</v>
      </c>
      <c r="EG20" t="str">
        <f t="shared" si="25"/>
        <v>appliances | Rot | S | bullet5_tr</v>
      </c>
      <c r="EH20" t="str">
        <f t="shared" si="25"/>
        <v>appliances | Rot | S | seo_title_tr</v>
      </c>
      <c r="EI20" t="str">
        <f t="shared" si="25"/>
        <v>appliances | Rot | S | seo_description_tr</v>
      </c>
      <c r="EJ20" t="str">
        <f t="shared" si="25"/>
        <v>appliances | Rot | S | seo_keywords_tr</v>
      </c>
      <c r="EK20" t="str">
        <f t="shared" si="25"/>
        <v>appliances | Rot | S | title_fr</v>
      </c>
      <c r="EL20" t="str">
        <f t="shared" si="25"/>
        <v>appliances | Rot | S | description_fr</v>
      </c>
      <c r="EM20" t="str">
        <f t="shared" si="25"/>
        <v>appliances | Rot | S | bullet1_fr</v>
      </c>
      <c r="EN20" t="str">
        <f t="shared" si="25"/>
        <v>appliances | Rot | S | bullet2_fr</v>
      </c>
      <c r="EO20" t="str">
        <f t="shared" si="25"/>
        <v>appliances | Rot | S | bullet3_fr</v>
      </c>
      <c r="EP20" t="str">
        <f t="shared" si="25"/>
        <v>appliances | Rot | S | bullet4_fr</v>
      </c>
      <c r="EQ20" t="str">
        <f t="shared" si="25"/>
        <v>appliances | Rot | S | bullet5_fr</v>
      </c>
      <c r="ER20" t="str">
        <f t="shared" si="25"/>
        <v>appliances | Rot | S | seo_title_fr</v>
      </c>
      <c r="ES20" t="str">
        <f t="shared" si="25"/>
        <v>appliances | Rot | S | seo_description_fr</v>
      </c>
      <c r="ET20" t="str">
        <f t="shared" si="25"/>
        <v>appliances | Rot | S | seo_keywords_fr</v>
      </c>
      <c r="EU20" t="str">
        <f t="shared" si="25"/>
        <v>appliances | Rot | S | title_it</v>
      </c>
      <c r="EV20" t="str">
        <f t="shared" si="25"/>
        <v>appliances | Rot | S | description_it</v>
      </c>
      <c r="EW20" t="str">
        <f t="shared" si="25"/>
        <v>appliances | Rot | S | bullet1_it</v>
      </c>
      <c r="EX20" t="str">
        <f t="shared" si="25"/>
        <v>appliances | Rot | S | bullet2_it</v>
      </c>
      <c r="EY20" t="str">
        <f t="shared" si="25"/>
        <v>appliances | Rot | S | bullet3_it</v>
      </c>
      <c r="EZ20" t="str">
        <f t="shared" si="25"/>
        <v>appliances | Rot | S | bullet4_it</v>
      </c>
      <c r="FA20" t="str">
        <f t="shared" si="25"/>
        <v>appliances | Rot | S | bullet5_it</v>
      </c>
      <c r="FB20" t="str">
        <f t="shared" si="25"/>
        <v>appliances | Rot | S | seo_title_it</v>
      </c>
      <c r="FC20" t="str">
        <f t="shared" si="25"/>
        <v>appliances | Rot | S | seo_description_it</v>
      </c>
      <c r="FD20" t="str">
        <f t="shared" si="25"/>
        <v>appliances | Rot | S | seo_keywords_it</v>
      </c>
      <c r="FE20" t="str">
        <f t="shared" si="25"/>
        <v>appliances | Rot | S | title_es</v>
      </c>
      <c r="FF20" t="str">
        <f t="shared" si="25"/>
        <v>appliances | Rot | S | description_es</v>
      </c>
      <c r="FG20" t="str">
        <f t="shared" si="25"/>
        <v>appliances | Rot | S | bullet1_es</v>
      </c>
      <c r="FH20" t="str">
        <f t="shared" si="25"/>
        <v>appliances | Rot | S | bullet2_es</v>
      </c>
      <c r="FI20" t="str">
        <f t="shared" si="25"/>
        <v>appliances | Rot | S | bullet3_es</v>
      </c>
      <c r="FJ20" t="str">
        <f t="shared" si="25"/>
        <v>appliances | Rot | S | bullet4_es</v>
      </c>
      <c r="FK20" t="str">
        <f t="shared" si="25"/>
        <v>appliances | Rot | S | bullet5_es</v>
      </c>
      <c r="FL20" t="str">
        <f t="shared" si="25"/>
        <v>appliances | Rot | S | seo_title_es</v>
      </c>
      <c r="FM20" t="str">
        <f t="shared" si="25"/>
        <v>appliances | Rot | S | seo_description_es</v>
      </c>
      <c r="FN20" t="str">
        <f t="shared" si="25"/>
        <v>appliances | Rot | S | seo_keywords_es</v>
      </c>
      <c r="FO20">
        <f t="shared" si="13"/>
        <v>22.990000000000002</v>
      </c>
      <c r="FP20">
        <f t="shared" si="7"/>
        <v>25.990000000000002</v>
      </c>
      <c r="FQ20">
        <f t="shared" si="8"/>
        <v>20.990000000000002</v>
      </c>
    </row>
    <row r="21" spans="1:173" x14ac:dyDescent="0.35">
      <c r="A21" t="s">
        <v>372</v>
      </c>
      <c r="B21" t="str">
        <f t="shared" si="1"/>
        <v>eco-parent1-160526-Rot-M</v>
      </c>
      <c r="C21" t="s">
        <v>419</v>
      </c>
      <c r="D21" t="s">
        <v>354</v>
      </c>
      <c r="E21">
        <f t="shared" si="9"/>
        <v>1234567904</v>
      </c>
      <c r="F21">
        <f t="shared" si="15"/>
        <v>140</v>
      </c>
      <c r="G21" t="s">
        <v>357</v>
      </c>
      <c r="H21" t="s">
        <v>416</v>
      </c>
      <c r="I21" t="s">
        <v>359</v>
      </c>
      <c r="J21" t="s">
        <v>360</v>
      </c>
      <c r="K21" t="s">
        <v>422</v>
      </c>
      <c r="L21" t="s">
        <v>425</v>
      </c>
      <c r="M21" t="str">
        <f t="shared" si="2"/>
        <v>Ander2</v>
      </c>
      <c r="N21">
        <f t="shared" si="3"/>
        <v>115</v>
      </c>
      <c r="O21">
        <f t="shared" si="10"/>
        <v>15</v>
      </c>
      <c r="P21">
        <f t="shared" ref="P21:Q21" si="29">O21+5</f>
        <v>20</v>
      </c>
      <c r="Q21">
        <f t="shared" si="29"/>
        <v>25</v>
      </c>
      <c r="R21" s="18" t="s">
        <v>432</v>
      </c>
      <c r="S21" s="18" t="s">
        <v>433</v>
      </c>
      <c r="W21" s="18" t="s">
        <v>452</v>
      </c>
      <c r="Y21" t="s">
        <v>377</v>
      </c>
      <c r="AA21" t="s">
        <v>381</v>
      </c>
      <c r="AJ21" t="s">
        <v>364</v>
      </c>
      <c r="AK21">
        <f t="shared" si="12"/>
        <v>125</v>
      </c>
      <c r="AL21">
        <v>1000</v>
      </c>
      <c r="AM21">
        <f t="shared" si="4"/>
        <v>1234581</v>
      </c>
      <c r="AN21">
        <f t="shared" si="4"/>
        <v>12359</v>
      </c>
      <c r="AO21" s="18" t="s">
        <v>454</v>
      </c>
      <c r="AP21" t="s">
        <v>455</v>
      </c>
      <c r="AQ21" s="18" t="s">
        <v>457</v>
      </c>
      <c r="AR21" t="s">
        <v>456</v>
      </c>
      <c r="AY21" t="s">
        <v>458</v>
      </c>
      <c r="AZ21" t="s">
        <v>502</v>
      </c>
      <c r="BA21" t="s">
        <v>613</v>
      </c>
      <c r="BB21" t="s">
        <v>503</v>
      </c>
      <c r="BC21" t="s">
        <v>459</v>
      </c>
      <c r="BD21" t="s">
        <v>504</v>
      </c>
      <c r="DG21" t="str">
        <f t="shared" si="5"/>
        <v>appliances | Rot | M | title_de</v>
      </c>
      <c r="DH21" t="str">
        <f t="shared" si="5"/>
        <v>appliances | Rot | M | description_de</v>
      </c>
      <c r="DI21" t="str">
        <f t="shared" si="5"/>
        <v>appliances | Rot | M | bullet1_de</v>
      </c>
      <c r="DJ21" t="str">
        <f t="shared" si="5"/>
        <v>appliances | Rot | M | bullet2_de</v>
      </c>
      <c r="DK21" t="str">
        <f t="shared" si="5"/>
        <v>appliances | Rot | M | bullet3_de</v>
      </c>
      <c r="DL21" t="str">
        <f t="shared" si="20"/>
        <v>appliances | Rot | M | bullet4_de</v>
      </c>
      <c r="DM21" t="str">
        <f t="shared" si="6"/>
        <v>appliances | Rot | M | bullet5_de</v>
      </c>
      <c r="DN21" t="str">
        <f t="shared" si="6"/>
        <v>appliances | Rot | M | seo_title_de</v>
      </c>
      <c r="DO21" t="str">
        <f t="shared" si="6"/>
        <v>appliances | Rot | M | seo_description_de</v>
      </c>
      <c r="DP21" t="str">
        <f t="shared" si="25"/>
        <v>appliances | Rot | M | seo_keywords_de</v>
      </c>
      <c r="DQ21" t="str">
        <f t="shared" si="25"/>
        <v>appliances | Rot | M | title_en</v>
      </c>
      <c r="DR21" t="str">
        <f t="shared" si="25"/>
        <v>appliances | Rot | M | description_en</v>
      </c>
      <c r="DS21" t="str">
        <f t="shared" si="25"/>
        <v>appliances | Rot | M | bullet1_en</v>
      </c>
      <c r="DT21" t="str">
        <f t="shared" si="25"/>
        <v>appliances | Rot | M | bullet2_en</v>
      </c>
      <c r="DU21" t="str">
        <f t="shared" si="25"/>
        <v>appliances | Rot | M | bullet3_en</v>
      </c>
      <c r="DV21" t="str">
        <f t="shared" si="25"/>
        <v>appliances | Rot | M | bullet4_en</v>
      </c>
      <c r="DW21" t="str">
        <f t="shared" si="25"/>
        <v>appliances | Rot | M | bullet5_en</v>
      </c>
      <c r="DX21" t="str">
        <f t="shared" si="25"/>
        <v>appliances | Rot | M | seo_title_en</v>
      </c>
      <c r="DY21" t="str">
        <f t="shared" si="25"/>
        <v>appliances | Rot | M | seo_description_en</v>
      </c>
      <c r="DZ21" t="str">
        <f t="shared" si="25"/>
        <v>appliances | Rot | M | seo_keywords_en</v>
      </c>
      <c r="EA21" t="str">
        <f t="shared" si="25"/>
        <v>appliances | Rot | M | title_tr</v>
      </c>
      <c r="EB21" t="str">
        <f t="shared" si="25"/>
        <v>appliances | Rot | M | description_tr</v>
      </c>
      <c r="EC21" t="str">
        <f t="shared" si="25"/>
        <v>appliances | Rot | M | bullet1_tr</v>
      </c>
      <c r="ED21" t="str">
        <f t="shared" si="25"/>
        <v>appliances | Rot | M | bullet2_tr</v>
      </c>
      <c r="EE21" t="str">
        <f t="shared" si="25"/>
        <v>appliances | Rot | M | bullet3_tr</v>
      </c>
      <c r="EF21" t="str">
        <f t="shared" si="25"/>
        <v>appliances | Rot | M | bullet4_tr</v>
      </c>
      <c r="EG21" t="str">
        <f t="shared" si="25"/>
        <v>appliances | Rot | M | bullet5_tr</v>
      </c>
      <c r="EH21" t="str">
        <f t="shared" si="25"/>
        <v>appliances | Rot | M | seo_title_tr</v>
      </c>
      <c r="EI21" t="str">
        <f t="shared" si="25"/>
        <v>appliances | Rot | M | seo_description_tr</v>
      </c>
      <c r="EJ21" t="str">
        <f t="shared" si="25"/>
        <v>appliances | Rot | M | seo_keywords_tr</v>
      </c>
      <c r="EK21" t="str">
        <f t="shared" si="25"/>
        <v>appliances | Rot | M | title_fr</v>
      </c>
      <c r="EL21" t="str">
        <f t="shared" si="25"/>
        <v>appliances | Rot | M | description_fr</v>
      </c>
      <c r="EM21" t="str">
        <f t="shared" si="25"/>
        <v>appliances | Rot | M | bullet1_fr</v>
      </c>
      <c r="EN21" t="str">
        <f t="shared" si="25"/>
        <v>appliances | Rot | M | bullet2_fr</v>
      </c>
      <c r="EO21" t="str">
        <f t="shared" si="25"/>
        <v>appliances | Rot | M | bullet3_fr</v>
      </c>
      <c r="EP21" t="str">
        <f t="shared" si="25"/>
        <v>appliances | Rot | M | bullet4_fr</v>
      </c>
      <c r="EQ21" t="str">
        <f t="shared" si="25"/>
        <v>appliances | Rot | M | bullet5_fr</v>
      </c>
      <c r="ER21" t="str">
        <f t="shared" si="25"/>
        <v>appliances | Rot | M | seo_title_fr</v>
      </c>
      <c r="ES21" t="str">
        <f t="shared" si="25"/>
        <v>appliances | Rot | M | seo_description_fr</v>
      </c>
      <c r="ET21" t="str">
        <f t="shared" si="25"/>
        <v>appliances | Rot | M | seo_keywords_fr</v>
      </c>
      <c r="EU21" t="str">
        <f t="shared" si="25"/>
        <v>appliances | Rot | M | title_it</v>
      </c>
      <c r="EV21" t="str">
        <f t="shared" si="25"/>
        <v>appliances | Rot | M | description_it</v>
      </c>
      <c r="EW21" t="str">
        <f t="shared" si="25"/>
        <v>appliances | Rot | M | bullet1_it</v>
      </c>
      <c r="EX21" t="str">
        <f t="shared" si="25"/>
        <v>appliances | Rot | M | bullet2_it</v>
      </c>
      <c r="EY21" t="str">
        <f t="shared" si="25"/>
        <v>appliances | Rot | M | bullet3_it</v>
      </c>
      <c r="EZ21" t="str">
        <f t="shared" si="25"/>
        <v>appliances | Rot | M | bullet4_it</v>
      </c>
      <c r="FA21" t="str">
        <f t="shared" si="25"/>
        <v>appliances | Rot | M | bullet5_it</v>
      </c>
      <c r="FB21" t="str">
        <f t="shared" si="25"/>
        <v>appliances | Rot | M | seo_title_it</v>
      </c>
      <c r="FC21" t="str">
        <f t="shared" si="25"/>
        <v>appliances | Rot | M | seo_description_it</v>
      </c>
      <c r="FD21" t="str">
        <f t="shared" si="25"/>
        <v>appliances | Rot | M | seo_keywords_it</v>
      </c>
      <c r="FE21" t="str">
        <f t="shared" si="25"/>
        <v>appliances | Rot | M | title_es</v>
      </c>
      <c r="FF21" t="str">
        <f t="shared" si="25"/>
        <v>appliances | Rot | M | description_es</v>
      </c>
      <c r="FG21" t="str">
        <f t="shared" si="25"/>
        <v>appliances | Rot | M | bullet1_es</v>
      </c>
      <c r="FH21" t="str">
        <f t="shared" si="25"/>
        <v>appliances | Rot | M | bullet2_es</v>
      </c>
      <c r="FI21" t="str">
        <f t="shared" si="25"/>
        <v>appliances | Rot | M | bullet3_es</v>
      </c>
      <c r="FJ21" t="str">
        <f t="shared" si="25"/>
        <v>appliances | Rot | M | bullet4_es</v>
      </c>
      <c r="FK21" t="str">
        <f t="shared" si="25"/>
        <v>appliances | Rot | M | bullet5_es</v>
      </c>
      <c r="FL21" t="str">
        <f t="shared" si="25"/>
        <v>appliances | Rot | M | seo_title_es</v>
      </c>
      <c r="FM21" t="str">
        <f t="shared" si="25"/>
        <v>appliances | Rot | M | seo_description_es</v>
      </c>
      <c r="FN21" t="str">
        <f t="shared" si="25"/>
        <v>appliances | Rot | M | seo_keywords_es</v>
      </c>
      <c r="FO21">
        <f t="shared" si="13"/>
        <v>23.990000000000002</v>
      </c>
      <c r="FP21">
        <f t="shared" si="7"/>
        <v>26.990000000000002</v>
      </c>
      <c r="FQ21">
        <f t="shared" si="8"/>
        <v>21.990000000000002</v>
      </c>
    </row>
    <row r="22" spans="1:173" x14ac:dyDescent="0.35">
      <c r="A22" t="s">
        <v>372</v>
      </c>
      <c r="B22" t="str">
        <f t="shared" si="1"/>
        <v>eco-parent1-160526-Rot-L</v>
      </c>
      <c r="C22" t="s">
        <v>419</v>
      </c>
      <c r="D22" t="s">
        <v>354</v>
      </c>
      <c r="E22">
        <f t="shared" si="9"/>
        <v>1234567905</v>
      </c>
      <c r="F22">
        <f t="shared" si="15"/>
        <v>150</v>
      </c>
      <c r="G22" t="s">
        <v>357</v>
      </c>
      <c r="H22" t="s">
        <v>416</v>
      </c>
      <c r="I22" t="s">
        <v>359</v>
      </c>
      <c r="J22" t="s">
        <v>360</v>
      </c>
      <c r="K22" t="s">
        <v>422</v>
      </c>
      <c r="L22" t="s">
        <v>425</v>
      </c>
      <c r="M22" t="str">
        <f t="shared" si="2"/>
        <v>Ander2</v>
      </c>
      <c r="N22">
        <f t="shared" si="3"/>
        <v>116</v>
      </c>
      <c r="O22">
        <f t="shared" si="10"/>
        <v>16</v>
      </c>
      <c r="P22">
        <f t="shared" ref="P22:Q22" si="30">O22+5</f>
        <v>21</v>
      </c>
      <c r="Q22">
        <f t="shared" si="30"/>
        <v>26</v>
      </c>
      <c r="R22" s="18" t="s">
        <v>432</v>
      </c>
      <c r="S22" s="18" t="s">
        <v>433</v>
      </c>
      <c r="W22" s="18" t="s">
        <v>452</v>
      </c>
      <c r="Y22" t="s">
        <v>377</v>
      </c>
      <c r="AA22" t="s">
        <v>406</v>
      </c>
      <c r="AJ22" t="s">
        <v>364</v>
      </c>
      <c r="AK22">
        <f t="shared" si="12"/>
        <v>126</v>
      </c>
      <c r="AL22">
        <v>1000</v>
      </c>
      <c r="AM22">
        <f t="shared" si="4"/>
        <v>1234582</v>
      </c>
      <c r="AN22">
        <f t="shared" si="4"/>
        <v>12360</v>
      </c>
      <c r="AO22" s="18" t="s">
        <v>454</v>
      </c>
      <c r="AP22" t="s">
        <v>455</v>
      </c>
      <c r="AQ22" s="18" t="s">
        <v>457</v>
      </c>
      <c r="AR22" t="s">
        <v>456</v>
      </c>
      <c r="AY22" t="s">
        <v>458</v>
      </c>
      <c r="AZ22" t="s">
        <v>505</v>
      </c>
      <c r="BA22" t="s">
        <v>613</v>
      </c>
      <c r="BB22" t="s">
        <v>506</v>
      </c>
      <c r="BC22" t="s">
        <v>459</v>
      </c>
      <c r="BD22" t="s">
        <v>507</v>
      </c>
      <c r="DG22" t="str">
        <f t="shared" si="5"/>
        <v>appliances | Rot | L | title_de</v>
      </c>
      <c r="DH22" t="str">
        <f t="shared" si="5"/>
        <v>appliances | Rot | L | description_de</v>
      </c>
      <c r="DI22" t="str">
        <f t="shared" si="5"/>
        <v>appliances | Rot | L | bullet1_de</v>
      </c>
      <c r="DJ22" t="str">
        <f t="shared" si="5"/>
        <v>appliances | Rot | L | bullet2_de</v>
      </c>
      <c r="DK22" t="str">
        <f t="shared" si="5"/>
        <v>appliances | Rot | L | bullet3_de</v>
      </c>
      <c r="DL22" t="str">
        <f t="shared" si="20"/>
        <v>appliances | Rot | L | bullet4_de</v>
      </c>
      <c r="DM22" t="str">
        <f t="shared" si="6"/>
        <v>appliances | Rot | L | bullet5_de</v>
      </c>
      <c r="DN22" t="str">
        <f t="shared" si="6"/>
        <v>appliances | Rot | L | seo_title_de</v>
      </c>
      <c r="DO22" t="str">
        <f t="shared" si="6"/>
        <v>appliances | Rot | L | seo_description_de</v>
      </c>
      <c r="DP22" t="str">
        <f t="shared" si="25"/>
        <v>appliances | Rot | L | seo_keywords_de</v>
      </c>
      <c r="DQ22" t="str">
        <f t="shared" si="25"/>
        <v>appliances | Rot | L | title_en</v>
      </c>
      <c r="DR22" t="str">
        <f t="shared" si="25"/>
        <v>appliances | Rot | L | description_en</v>
      </c>
      <c r="DS22" t="str">
        <f t="shared" si="25"/>
        <v>appliances | Rot | L | bullet1_en</v>
      </c>
      <c r="DT22" t="str">
        <f t="shared" si="25"/>
        <v>appliances | Rot | L | bullet2_en</v>
      </c>
      <c r="DU22" t="str">
        <f t="shared" si="25"/>
        <v>appliances | Rot | L | bullet3_en</v>
      </c>
      <c r="DV22" t="str">
        <f t="shared" si="25"/>
        <v>appliances | Rot | L | bullet4_en</v>
      </c>
      <c r="DW22" t="str">
        <f t="shared" si="25"/>
        <v>appliances | Rot | L | bullet5_en</v>
      </c>
      <c r="DX22" t="str">
        <f t="shared" si="25"/>
        <v>appliances | Rot | L | seo_title_en</v>
      </c>
      <c r="DY22" t="str">
        <f t="shared" si="25"/>
        <v>appliances | Rot | L | seo_description_en</v>
      </c>
      <c r="DZ22" t="str">
        <f t="shared" si="25"/>
        <v>appliances | Rot | L | seo_keywords_en</v>
      </c>
      <c r="EA22" t="str">
        <f t="shared" si="25"/>
        <v>appliances | Rot | L | title_tr</v>
      </c>
      <c r="EB22" t="str">
        <f t="shared" si="25"/>
        <v>appliances | Rot | L | description_tr</v>
      </c>
      <c r="EC22" t="str">
        <f t="shared" ref="DP22:FN27" si="31">MID($I22,1,FIND("-",$I22,1)-1)&amp;" | "&amp;$Y22&amp;" | "&amp;$AA22&amp;" | "&amp;EC$2</f>
        <v>appliances | Rot | L | bullet1_tr</v>
      </c>
      <c r="ED22" t="str">
        <f t="shared" si="31"/>
        <v>appliances | Rot | L | bullet2_tr</v>
      </c>
      <c r="EE22" t="str">
        <f t="shared" si="31"/>
        <v>appliances | Rot | L | bullet3_tr</v>
      </c>
      <c r="EF22" t="str">
        <f t="shared" si="31"/>
        <v>appliances | Rot | L | bullet4_tr</v>
      </c>
      <c r="EG22" t="str">
        <f t="shared" si="31"/>
        <v>appliances | Rot | L | bullet5_tr</v>
      </c>
      <c r="EH22" t="str">
        <f t="shared" si="31"/>
        <v>appliances | Rot | L | seo_title_tr</v>
      </c>
      <c r="EI22" t="str">
        <f t="shared" si="31"/>
        <v>appliances | Rot | L | seo_description_tr</v>
      </c>
      <c r="EJ22" t="str">
        <f t="shared" si="31"/>
        <v>appliances | Rot | L | seo_keywords_tr</v>
      </c>
      <c r="EK22" t="str">
        <f t="shared" si="31"/>
        <v>appliances | Rot | L | title_fr</v>
      </c>
      <c r="EL22" t="str">
        <f t="shared" si="31"/>
        <v>appliances | Rot | L | description_fr</v>
      </c>
      <c r="EM22" t="str">
        <f t="shared" si="31"/>
        <v>appliances | Rot | L | bullet1_fr</v>
      </c>
      <c r="EN22" t="str">
        <f t="shared" si="31"/>
        <v>appliances | Rot | L | bullet2_fr</v>
      </c>
      <c r="EO22" t="str">
        <f t="shared" si="31"/>
        <v>appliances | Rot | L | bullet3_fr</v>
      </c>
      <c r="EP22" t="str">
        <f t="shared" si="31"/>
        <v>appliances | Rot | L | bullet4_fr</v>
      </c>
      <c r="EQ22" t="str">
        <f t="shared" si="31"/>
        <v>appliances | Rot | L | bullet5_fr</v>
      </c>
      <c r="ER22" t="str">
        <f t="shared" si="31"/>
        <v>appliances | Rot | L | seo_title_fr</v>
      </c>
      <c r="ES22" t="str">
        <f t="shared" si="31"/>
        <v>appliances | Rot | L | seo_description_fr</v>
      </c>
      <c r="ET22" t="str">
        <f t="shared" si="31"/>
        <v>appliances | Rot | L | seo_keywords_fr</v>
      </c>
      <c r="EU22" t="str">
        <f t="shared" si="31"/>
        <v>appliances | Rot | L | title_it</v>
      </c>
      <c r="EV22" t="str">
        <f t="shared" si="31"/>
        <v>appliances | Rot | L | description_it</v>
      </c>
      <c r="EW22" t="str">
        <f t="shared" si="31"/>
        <v>appliances | Rot | L | bullet1_it</v>
      </c>
      <c r="EX22" t="str">
        <f t="shared" si="31"/>
        <v>appliances | Rot | L | bullet2_it</v>
      </c>
      <c r="EY22" t="str">
        <f t="shared" si="31"/>
        <v>appliances | Rot | L | bullet3_it</v>
      </c>
      <c r="EZ22" t="str">
        <f t="shared" si="31"/>
        <v>appliances | Rot | L | bullet4_it</v>
      </c>
      <c r="FA22" t="str">
        <f t="shared" si="31"/>
        <v>appliances | Rot | L | bullet5_it</v>
      </c>
      <c r="FB22" t="str">
        <f t="shared" si="31"/>
        <v>appliances | Rot | L | seo_title_it</v>
      </c>
      <c r="FC22" t="str">
        <f t="shared" si="31"/>
        <v>appliances | Rot | L | seo_description_it</v>
      </c>
      <c r="FD22" t="str">
        <f t="shared" si="31"/>
        <v>appliances | Rot | L | seo_keywords_it</v>
      </c>
      <c r="FE22" t="str">
        <f t="shared" si="31"/>
        <v>appliances | Rot | L | title_es</v>
      </c>
      <c r="FF22" t="str">
        <f t="shared" si="31"/>
        <v>appliances | Rot | L | description_es</v>
      </c>
      <c r="FG22" t="str">
        <f t="shared" si="31"/>
        <v>appliances | Rot | L | bullet1_es</v>
      </c>
      <c r="FH22" t="str">
        <f t="shared" si="31"/>
        <v>appliances | Rot | L | bullet2_es</v>
      </c>
      <c r="FI22" t="str">
        <f t="shared" si="31"/>
        <v>appliances | Rot | L | bullet3_es</v>
      </c>
      <c r="FJ22" t="str">
        <f t="shared" si="31"/>
        <v>appliances | Rot | L | bullet4_es</v>
      </c>
      <c r="FK22" t="str">
        <f t="shared" si="31"/>
        <v>appliances | Rot | L | bullet5_es</v>
      </c>
      <c r="FL22" t="str">
        <f t="shared" si="31"/>
        <v>appliances | Rot | L | seo_title_es</v>
      </c>
      <c r="FM22" t="str">
        <f t="shared" si="31"/>
        <v>appliances | Rot | L | seo_description_es</v>
      </c>
      <c r="FN22" t="str">
        <f t="shared" si="31"/>
        <v>appliances | Rot | L | seo_keywords_es</v>
      </c>
      <c r="FO22">
        <f t="shared" si="13"/>
        <v>24.990000000000002</v>
      </c>
      <c r="FP22">
        <f t="shared" si="7"/>
        <v>27.990000000000002</v>
      </c>
      <c r="FQ22">
        <f t="shared" si="8"/>
        <v>22.990000000000002</v>
      </c>
    </row>
    <row r="23" spans="1:173" x14ac:dyDescent="0.35">
      <c r="A23" t="s">
        <v>372</v>
      </c>
      <c r="B23" t="str">
        <f>"eco-parent1-160526-"&amp;Y23&amp;"-"&amp;AA23</f>
        <v>eco-parent1-160526-Rot-XL</v>
      </c>
      <c r="C23" t="s">
        <v>419</v>
      </c>
      <c r="D23" t="s">
        <v>354</v>
      </c>
      <c r="E23">
        <f t="shared" si="9"/>
        <v>1234567906</v>
      </c>
      <c r="F23">
        <f t="shared" si="15"/>
        <v>160</v>
      </c>
      <c r="G23" t="s">
        <v>357</v>
      </c>
      <c r="H23" t="s">
        <v>416</v>
      </c>
      <c r="I23" t="s">
        <v>359</v>
      </c>
      <c r="J23" t="s">
        <v>360</v>
      </c>
      <c r="K23" t="s">
        <v>422</v>
      </c>
      <c r="L23" t="s">
        <v>425</v>
      </c>
      <c r="M23" t="str">
        <f t="shared" si="2"/>
        <v>Ander2</v>
      </c>
      <c r="N23">
        <f t="shared" si="3"/>
        <v>117</v>
      </c>
      <c r="O23">
        <f t="shared" si="10"/>
        <v>17</v>
      </c>
      <c r="P23">
        <f t="shared" ref="P23:Q23" si="32">O23+5</f>
        <v>22</v>
      </c>
      <c r="Q23">
        <f t="shared" si="32"/>
        <v>27</v>
      </c>
      <c r="R23" s="18" t="s">
        <v>432</v>
      </c>
      <c r="S23" s="18" t="s">
        <v>433</v>
      </c>
      <c r="W23" s="18" t="s">
        <v>452</v>
      </c>
      <c r="Y23" t="s">
        <v>377</v>
      </c>
      <c r="AA23" t="s">
        <v>412</v>
      </c>
      <c r="AJ23" t="s">
        <v>364</v>
      </c>
      <c r="AK23">
        <f t="shared" si="12"/>
        <v>127</v>
      </c>
      <c r="AL23">
        <v>1000</v>
      </c>
      <c r="AM23">
        <f t="shared" si="4"/>
        <v>1234583</v>
      </c>
      <c r="AN23">
        <f t="shared" si="4"/>
        <v>12361</v>
      </c>
      <c r="AO23" s="18" t="s">
        <v>454</v>
      </c>
      <c r="AP23" t="s">
        <v>455</v>
      </c>
      <c r="AQ23" s="18" t="s">
        <v>457</v>
      </c>
      <c r="AR23" t="s">
        <v>456</v>
      </c>
      <c r="AY23" t="s">
        <v>458</v>
      </c>
      <c r="AZ23" t="s">
        <v>508</v>
      </c>
      <c r="BA23" t="s">
        <v>613</v>
      </c>
      <c r="BB23" t="s">
        <v>509</v>
      </c>
      <c r="BC23" t="s">
        <v>459</v>
      </c>
      <c r="BD23" t="s">
        <v>510</v>
      </c>
      <c r="DG23" t="str">
        <f t="shared" si="5"/>
        <v>appliances | Rot | XL | title_de</v>
      </c>
      <c r="DH23" t="str">
        <f t="shared" si="5"/>
        <v>appliances | Rot | XL | description_de</v>
      </c>
      <c r="DI23" t="str">
        <f t="shared" si="5"/>
        <v>appliances | Rot | XL | bullet1_de</v>
      </c>
      <c r="DJ23" t="str">
        <f t="shared" si="5"/>
        <v>appliances | Rot | XL | bullet2_de</v>
      </c>
      <c r="DK23" t="str">
        <f t="shared" si="5"/>
        <v>appliances | Rot | XL | bullet3_de</v>
      </c>
      <c r="DL23" t="str">
        <f t="shared" si="20"/>
        <v>appliances | Rot | XL | bullet4_de</v>
      </c>
      <c r="DM23" t="str">
        <f t="shared" si="6"/>
        <v>appliances | Rot | XL | bullet5_de</v>
      </c>
      <c r="DN23" t="str">
        <f t="shared" si="6"/>
        <v>appliances | Rot | XL | seo_title_de</v>
      </c>
      <c r="DO23" t="str">
        <f t="shared" si="6"/>
        <v>appliances | Rot | XL | seo_description_de</v>
      </c>
      <c r="DP23" t="str">
        <f t="shared" si="31"/>
        <v>appliances | Rot | XL | seo_keywords_de</v>
      </c>
      <c r="DQ23" t="str">
        <f t="shared" si="31"/>
        <v>appliances | Rot | XL | title_en</v>
      </c>
      <c r="DR23" t="str">
        <f t="shared" si="31"/>
        <v>appliances | Rot | XL | description_en</v>
      </c>
      <c r="DS23" t="str">
        <f t="shared" si="31"/>
        <v>appliances | Rot | XL | bullet1_en</v>
      </c>
      <c r="DT23" t="str">
        <f t="shared" si="31"/>
        <v>appliances | Rot | XL | bullet2_en</v>
      </c>
      <c r="DU23" t="str">
        <f t="shared" si="31"/>
        <v>appliances | Rot | XL | bullet3_en</v>
      </c>
      <c r="DV23" t="str">
        <f t="shared" si="31"/>
        <v>appliances | Rot | XL | bullet4_en</v>
      </c>
      <c r="DW23" t="str">
        <f t="shared" si="31"/>
        <v>appliances | Rot | XL | bullet5_en</v>
      </c>
      <c r="DX23" t="str">
        <f t="shared" si="31"/>
        <v>appliances | Rot | XL | seo_title_en</v>
      </c>
      <c r="DY23" t="str">
        <f t="shared" si="31"/>
        <v>appliances | Rot | XL | seo_description_en</v>
      </c>
      <c r="DZ23" t="str">
        <f t="shared" si="31"/>
        <v>appliances | Rot | XL | seo_keywords_en</v>
      </c>
      <c r="EA23" t="str">
        <f t="shared" si="31"/>
        <v>appliances | Rot | XL | title_tr</v>
      </c>
      <c r="EB23" t="str">
        <f t="shared" si="31"/>
        <v>appliances | Rot | XL | description_tr</v>
      </c>
      <c r="EC23" t="str">
        <f t="shared" si="31"/>
        <v>appliances | Rot | XL | bullet1_tr</v>
      </c>
      <c r="ED23" t="str">
        <f t="shared" si="31"/>
        <v>appliances | Rot | XL | bullet2_tr</v>
      </c>
      <c r="EE23" t="str">
        <f t="shared" si="31"/>
        <v>appliances | Rot | XL | bullet3_tr</v>
      </c>
      <c r="EF23" t="str">
        <f t="shared" si="31"/>
        <v>appliances | Rot | XL | bullet4_tr</v>
      </c>
      <c r="EG23" t="str">
        <f t="shared" si="31"/>
        <v>appliances | Rot | XL | bullet5_tr</v>
      </c>
      <c r="EH23" t="str">
        <f t="shared" si="31"/>
        <v>appliances | Rot | XL | seo_title_tr</v>
      </c>
      <c r="EI23" t="str">
        <f t="shared" si="31"/>
        <v>appliances | Rot | XL | seo_description_tr</v>
      </c>
      <c r="EJ23" t="str">
        <f t="shared" si="31"/>
        <v>appliances | Rot | XL | seo_keywords_tr</v>
      </c>
      <c r="EK23" t="str">
        <f t="shared" si="31"/>
        <v>appliances | Rot | XL | title_fr</v>
      </c>
      <c r="EL23" t="str">
        <f t="shared" si="31"/>
        <v>appliances | Rot | XL | description_fr</v>
      </c>
      <c r="EM23" t="str">
        <f t="shared" si="31"/>
        <v>appliances | Rot | XL | bullet1_fr</v>
      </c>
      <c r="EN23" t="str">
        <f t="shared" si="31"/>
        <v>appliances | Rot | XL | bullet2_fr</v>
      </c>
      <c r="EO23" t="str">
        <f t="shared" si="31"/>
        <v>appliances | Rot | XL | bullet3_fr</v>
      </c>
      <c r="EP23" t="str">
        <f t="shared" si="31"/>
        <v>appliances | Rot | XL | bullet4_fr</v>
      </c>
      <c r="EQ23" t="str">
        <f t="shared" si="31"/>
        <v>appliances | Rot | XL | bullet5_fr</v>
      </c>
      <c r="ER23" t="str">
        <f t="shared" si="31"/>
        <v>appliances | Rot | XL | seo_title_fr</v>
      </c>
      <c r="ES23" t="str">
        <f t="shared" si="31"/>
        <v>appliances | Rot | XL | seo_description_fr</v>
      </c>
      <c r="ET23" t="str">
        <f t="shared" si="31"/>
        <v>appliances | Rot | XL | seo_keywords_fr</v>
      </c>
      <c r="EU23" t="str">
        <f t="shared" si="31"/>
        <v>appliances | Rot | XL | title_it</v>
      </c>
      <c r="EV23" t="str">
        <f t="shared" si="31"/>
        <v>appliances | Rot | XL | description_it</v>
      </c>
      <c r="EW23" t="str">
        <f t="shared" si="31"/>
        <v>appliances | Rot | XL | bullet1_it</v>
      </c>
      <c r="EX23" t="str">
        <f t="shared" si="31"/>
        <v>appliances | Rot | XL | bullet2_it</v>
      </c>
      <c r="EY23" t="str">
        <f t="shared" si="31"/>
        <v>appliances | Rot | XL | bullet3_it</v>
      </c>
      <c r="EZ23" t="str">
        <f t="shared" si="31"/>
        <v>appliances | Rot | XL | bullet4_it</v>
      </c>
      <c r="FA23" t="str">
        <f t="shared" si="31"/>
        <v>appliances | Rot | XL | bullet5_it</v>
      </c>
      <c r="FB23" t="str">
        <f t="shared" si="31"/>
        <v>appliances | Rot | XL | seo_title_it</v>
      </c>
      <c r="FC23" t="str">
        <f t="shared" si="31"/>
        <v>appliances | Rot | XL | seo_description_it</v>
      </c>
      <c r="FD23" t="str">
        <f t="shared" si="31"/>
        <v>appliances | Rot | XL | seo_keywords_it</v>
      </c>
      <c r="FE23" t="str">
        <f t="shared" si="31"/>
        <v>appliances | Rot | XL | title_es</v>
      </c>
      <c r="FF23" t="str">
        <f t="shared" si="31"/>
        <v>appliances | Rot | XL | description_es</v>
      </c>
      <c r="FG23" t="str">
        <f t="shared" si="31"/>
        <v>appliances | Rot | XL | bullet1_es</v>
      </c>
      <c r="FH23" t="str">
        <f t="shared" si="31"/>
        <v>appliances | Rot | XL | bullet2_es</v>
      </c>
      <c r="FI23" t="str">
        <f t="shared" si="31"/>
        <v>appliances | Rot | XL | bullet3_es</v>
      </c>
      <c r="FJ23" t="str">
        <f t="shared" si="31"/>
        <v>appliances | Rot | XL | bullet4_es</v>
      </c>
      <c r="FK23" t="str">
        <f t="shared" si="31"/>
        <v>appliances | Rot | XL | bullet5_es</v>
      </c>
      <c r="FL23" t="str">
        <f t="shared" si="31"/>
        <v>appliances | Rot | XL | seo_title_es</v>
      </c>
      <c r="FM23" t="str">
        <f t="shared" si="31"/>
        <v>appliances | Rot | XL | seo_description_es</v>
      </c>
      <c r="FN23" t="str">
        <f t="shared" si="31"/>
        <v>appliances | Rot | XL | seo_keywords_es</v>
      </c>
      <c r="FO23">
        <f t="shared" si="13"/>
        <v>25.990000000000002</v>
      </c>
      <c r="FP23">
        <f t="shared" si="7"/>
        <v>28.990000000000002</v>
      </c>
      <c r="FQ23">
        <f t="shared" si="8"/>
        <v>23.990000000000002</v>
      </c>
    </row>
    <row r="24" spans="1:173" x14ac:dyDescent="0.35">
      <c r="A24" t="s">
        <v>352</v>
      </c>
      <c r="B24" t="s">
        <v>418</v>
      </c>
      <c r="D24" t="s">
        <v>354</v>
      </c>
      <c r="E24">
        <v>2234567890</v>
      </c>
      <c r="G24" t="s">
        <v>357</v>
      </c>
      <c r="H24" t="s">
        <v>417</v>
      </c>
      <c r="I24" t="s">
        <v>404</v>
      </c>
      <c r="J24" t="s">
        <v>360</v>
      </c>
      <c r="K24" t="s">
        <v>423</v>
      </c>
      <c r="L24" t="s">
        <v>425</v>
      </c>
      <c r="M24" t="str">
        <f t="shared" si="2"/>
        <v>Tal2</v>
      </c>
      <c r="N24">
        <v>201</v>
      </c>
      <c r="O24">
        <f t="shared" si="10"/>
        <v>18</v>
      </c>
      <c r="P24">
        <f t="shared" ref="P24:Q24" si="33">O24+5</f>
        <v>23</v>
      </c>
      <c r="Q24">
        <f t="shared" si="33"/>
        <v>28</v>
      </c>
      <c r="X24" t="s">
        <v>362</v>
      </c>
      <c r="Z24" t="s">
        <v>363</v>
      </c>
      <c r="AJ24" t="s">
        <v>364</v>
      </c>
      <c r="AK24">
        <v>211</v>
      </c>
      <c r="AL24">
        <v>1000</v>
      </c>
      <c r="AM24">
        <v>2234567</v>
      </c>
      <c r="AN24">
        <v>22345</v>
      </c>
      <c r="AO24" s="18" t="s">
        <v>454</v>
      </c>
      <c r="AP24" t="s">
        <v>455</v>
      </c>
      <c r="AQ24" s="18" t="s">
        <v>457</v>
      </c>
      <c r="AR24" t="s">
        <v>456</v>
      </c>
      <c r="AY24" t="s">
        <v>458</v>
      </c>
      <c r="AZ24" t="s">
        <v>511</v>
      </c>
      <c r="BA24" t="s">
        <v>613</v>
      </c>
      <c r="BB24" t="s">
        <v>512</v>
      </c>
      <c r="BC24" t="s">
        <v>459</v>
      </c>
      <c r="BD24" t="s">
        <v>513</v>
      </c>
      <c r="DG24" t="str">
        <f t="shared" si="5"/>
        <v>arts |  |  | title_de</v>
      </c>
      <c r="DH24" t="str">
        <f t="shared" si="5"/>
        <v>arts |  |  | description_de</v>
      </c>
      <c r="DI24" t="str">
        <f t="shared" si="5"/>
        <v>arts |  |  | bullet1_de</v>
      </c>
      <c r="DJ24" t="str">
        <f t="shared" si="5"/>
        <v>arts |  |  | bullet2_de</v>
      </c>
      <c r="DK24" t="str">
        <f t="shared" si="5"/>
        <v>arts |  |  | bullet3_de</v>
      </c>
      <c r="DL24" t="str">
        <f t="shared" si="20"/>
        <v>arts |  |  | bullet4_de</v>
      </c>
      <c r="DM24" t="str">
        <f t="shared" si="6"/>
        <v>arts |  |  | bullet5_de</v>
      </c>
      <c r="DN24" t="str">
        <f t="shared" si="6"/>
        <v>arts |  |  | seo_title_de</v>
      </c>
      <c r="DO24" t="str">
        <f t="shared" si="6"/>
        <v>arts |  |  | seo_description_de</v>
      </c>
      <c r="DP24" t="str">
        <f t="shared" si="31"/>
        <v>arts |  |  | seo_keywords_de</v>
      </c>
      <c r="DQ24" t="str">
        <f t="shared" si="31"/>
        <v>arts |  |  | title_en</v>
      </c>
      <c r="DR24" t="str">
        <f t="shared" si="31"/>
        <v>arts |  |  | description_en</v>
      </c>
      <c r="DS24" t="str">
        <f t="shared" si="31"/>
        <v>arts |  |  | bullet1_en</v>
      </c>
      <c r="DT24" t="str">
        <f t="shared" si="31"/>
        <v>arts |  |  | bullet2_en</v>
      </c>
      <c r="DU24" t="str">
        <f t="shared" si="31"/>
        <v>arts |  |  | bullet3_en</v>
      </c>
      <c r="DV24" t="str">
        <f t="shared" si="31"/>
        <v>arts |  |  | bullet4_en</v>
      </c>
      <c r="DW24" t="str">
        <f t="shared" si="31"/>
        <v>arts |  |  | bullet5_en</v>
      </c>
      <c r="DX24" t="str">
        <f t="shared" si="31"/>
        <v>arts |  |  | seo_title_en</v>
      </c>
      <c r="DY24" t="str">
        <f t="shared" si="31"/>
        <v>arts |  |  | seo_description_en</v>
      </c>
      <c r="DZ24" t="str">
        <f t="shared" si="31"/>
        <v>arts |  |  | seo_keywords_en</v>
      </c>
      <c r="EA24" t="str">
        <f t="shared" si="31"/>
        <v>arts |  |  | title_tr</v>
      </c>
      <c r="EB24" t="str">
        <f t="shared" si="31"/>
        <v>arts |  |  | description_tr</v>
      </c>
      <c r="EC24" t="str">
        <f t="shared" si="31"/>
        <v>arts |  |  | bullet1_tr</v>
      </c>
      <c r="ED24" t="str">
        <f t="shared" si="31"/>
        <v>arts |  |  | bullet2_tr</v>
      </c>
      <c r="EE24" t="str">
        <f t="shared" si="31"/>
        <v>arts |  |  | bullet3_tr</v>
      </c>
      <c r="EF24" t="str">
        <f t="shared" si="31"/>
        <v>arts |  |  | bullet4_tr</v>
      </c>
      <c r="EG24" t="str">
        <f t="shared" si="31"/>
        <v>arts |  |  | bullet5_tr</v>
      </c>
      <c r="EH24" t="str">
        <f t="shared" si="31"/>
        <v>arts |  |  | seo_title_tr</v>
      </c>
      <c r="EI24" t="str">
        <f t="shared" si="31"/>
        <v>arts |  |  | seo_description_tr</v>
      </c>
      <c r="EJ24" t="str">
        <f t="shared" si="31"/>
        <v>arts |  |  | seo_keywords_tr</v>
      </c>
      <c r="EK24" t="str">
        <f t="shared" si="31"/>
        <v>arts |  |  | title_fr</v>
      </c>
      <c r="EL24" t="str">
        <f t="shared" si="31"/>
        <v>arts |  |  | description_fr</v>
      </c>
      <c r="EM24" t="str">
        <f t="shared" si="31"/>
        <v>arts |  |  | bullet1_fr</v>
      </c>
      <c r="EN24" t="str">
        <f t="shared" si="31"/>
        <v>arts |  |  | bullet2_fr</v>
      </c>
      <c r="EO24" t="str">
        <f t="shared" si="31"/>
        <v>arts |  |  | bullet3_fr</v>
      </c>
      <c r="EP24" t="str">
        <f t="shared" si="31"/>
        <v>arts |  |  | bullet4_fr</v>
      </c>
      <c r="EQ24" t="str">
        <f t="shared" si="31"/>
        <v>arts |  |  | bullet5_fr</v>
      </c>
      <c r="ER24" t="str">
        <f t="shared" si="31"/>
        <v>arts |  |  | seo_title_fr</v>
      </c>
      <c r="ES24" t="str">
        <f t="shared" si="31"/>
        <v>arts |  |  | seo_description_fr</v>
      </c>
      <c r="ET24" t="str">
        <f t="shared" si="31"/>
        <v>arts |  |  | seo_keywords_fr</v>
      </c>
      <c r="EU24" t="str">
        <f t="shared" si="31"/>
        <v>arts |  |  | title_it</v>
      </c>
      <c r="EV24" t="str">
        <f t="shared" si="31"/>
        <v>arts |  |  | description_it</v>
      </c>
      <c r="EW24" t="str">
        <f t="shared" si="31"/>
        <v>arts |  |  | bullet1_it</v>
      </c>
      <c r="EX24" t="str">
        <f t="shared" si="31"/>
        <v>arts |  |  | bullet2_it</v>
      </c>
      <c r="EY24" t="str">
        <f t="shared" si="31"/>
        <v>arts |  |  | bullet3_it</v>
      </c>
      <c r="EZ24" t="str">
        <f t="shared" si="31"/>
        <v>arts |  |  | bullet4_it</v>
      </c>
      <c r="FA24" t="str">
        <f t="shared" si="31"/>
        <v>arts |  |  | bullet5_it</v>
      </c>
      <c r="FB24" t="str">
        <f t="shared" si="31"/>
        <v>arts |  |  | seo_title_it</v>
      </c>
      <c r="FC24" t="str">
        <f t="shared" si="31"/>
        <v>arts |  |  | seo_description_it</v>
      </c>
      <c r="FD24" t="str">
        <f t="shared" si="31"/>
        <v>arts |  |  | seo_keywords_it</v>
      </c>
      <c r="FE24" t="str">
        <f t="shared" si="31"/>
        <v>arts |  |  | title_es</v>
      </c>
      <c r="FF24" t="str">
        <f t="shared" si="31"/>
        <v>arts |  |  | description_es</v>
      </c>
      <c r="FG24" t="str">
        <f t="shared" si="31"/>
        <v>arts |  |  | bullet1_es</v>
      </c>
      <c r="FH24" t="str">
        <f t="shared" si="31"/>
        <v>arts |  |  | bullet2_es</v>
      </c>
      <c r="FI24" t="str">
        <f t="shared" si="31"/>
        <v>arts |  |  | bullet3_es</v>
      </c>
      <c r="FJ24" t="str">
        <f t="shared" si="31"/>
        <v>arts |  |  | bullet4_es</v>
      </c>
      <c r="FK24" t="str">
        <f t="shared" si="31"/>
        <v>arts |  |  | bullet5_es</v>
      </c>
      <c r="FL24" t="str">
        <f t="shared" si="31"/>
        <v>arts |  |  | seo_title_es</v>
      </c>
      <c r="FM24" t="str">
        <f t="shared" si="31"/>
        <v>arts |  |  | seo_description_es</v>
      </c>
      <c r="FN24" t="str">
        <f t="shared" si="31"/>
        <v>arts |  |  | seo_keywords_es</v>
      </c>
      <c r="FO24">
        <f t="shared" si="13"/>
        <v>26.990000000000002</v>
      </c>
      <c r="FP24">
        <f t="shared" si="7"/>
        <v>29.990000000000002</v>
      </c>
      <c r="FQ24">
        <f t="shared" si="8"/>
        <v>24.990000000000002</v>
      </c>
    </row>
    <row r="25" spans="1:173" x14ac:dyDescent="0.35">
      <c r="A25" t="s">
        <v>372</v>
      </c>
      <c r="B25" t="str">
        <f>"eco-parent2-160526-"&amp;Y25&amp;"-"&amp;AA25</f>
        <v>eco-parent2-160526-Schwarz-S</v>
      </c>
      <c r="C25" t="s">
        <v>418</v>
      </c>
      <c r="D25" t="s">
        <v>354</v>
      </c>
      <c r="E25">
        <f>E24+1</f>
        <v>2234567891</v>
      </c>
      <c r="F25">
        <v>10</v>
      </c>
      <c r="G25" t="s">
        <v>357</v>
      </c>
      <c r="H25" t="s">
        <v>417</v>
      </c>
      <c r="I25" t="s">
        <v>404</v>
      </c>
      <c r="J25" t="s">
        <v>360</v>
      </c>
      <c r="K25" t="s">
        <v>423</v>
      </c>
      <c r="L25" t="s">
        <v>425</v>
      </c>
      <c r="M25" t="str">
        <f t="shared" si="2"/>
        <v>Tal2</v>
      </c>
      <c r="N25">
        <f>N24+1</f>
        <v>202</v>
      </c>
      <c r="O25">
        <f t="shared" si="10"/>
        <v>19</v>
      </c>
      <c r="P25">
        <f t="shared" ref="P25:Q25" si="34">O25+5</f>
        <v>24</v>
      </c>
      <c r="Q25">
        <f t="shared" si="34"/>
        <v>29</v>
      </c>
      <c r="R25" s="18" t="s">
        <v>434</v>
      </c>
      <c r="S25" s="18" t="s">
        <v>435</v>
      </c>
      <c r="W25" s="18" t="s">
        <v>451</v>
      </c>
      <c r="Y25" t="s">
        <v>413</v>
      </c>
      <c r="AA25" t="s">
        <v>378</v>
      </c>
      <c r="AJ25" t="s">
        <v>364</v>
      </c>
      <c r="AK25">
        <f>AK24+1</f>
        <v>212</v>
      </c>
      <c r="AL25">
        <v>1000</v>
      </c>
      <c r="AM25">
        <f t="shared" ref="AM25:AN42" si="35">AM24+1</f>
        <v>2234568</v>
      </c>
      <c r="AN25">
        <f t="shared" si="35"/>
        <v>22346</v>
      </c>
      <c r="AO25" s="18" t="s">
        <v>454</v>
      </c>
      <c r="AP25" t="s">
        <v>455</v>
      </c>
      <c r="AQ25" s="18" t="s">
        <v>457</v>
      </c>
      <c r="AR25" t="s">
        <v>456</v>
      </c>
      <c r="AY25" t="s">
        <v>458</v>
      </c>
      <c r="AZ25" t="s">
        <v>514</v>
      </c>
      <c r="BA25" t="s">
        <v>613</v>
      </c>
      <c r="BB25" t="s">
        <v>515</v>
      </c>
      <c r="BC25" t="s">
        <v>459</v>
      </c>
      <c r="BD25" t="s">
        <v>516</v>
      </c>
      <c r="DG25" t="str">
        <f t="shared" si="5"/>
        <v>arts | Schwarz | S | title_de</v>
      </c>
      <c r="DH25" t="str">
        <f t="shared" si="5"/>
        <v>arts | Schwarz | S | description_de</v>
      </c>
      <c r="DI25" t="str">
        <f t="shared" si="5"/>
        <v>arts | Schwarz | S | bullet1_de</v>
      </c>
      <c r="DJ25" t="str">
        <f t="shared" si="5"/>
        <v>arts | Schwarz | S | bullet2_de</v>
      </c>
      <c r="DK25" t="str">
        <f t="shared" si="5"/>
        <v>arts | Schwarz | S | bullet3_de</v>
      </c>
      <c r="DL25" t="str">
        <f t="shared" si="20"/>
        <v>arts | Schwarz | S | bullet4_de</v>
      </c>
      <c r="DM25" t="str">
        <f t="shared" si="6"/>
        <v>arts | Schwarz | S | bullet5_de</v>
      </c>
      <c r="DN25" t="str">
        <f t="shared" si="6"/>
        <v>arts | Schwarz | S | seo_title_de</v>
      </c>
      <c r="DO25" t="str">
        <f t="shared" si="6"/>
        <v>arts | Schwarz | S | seo_description_de</v>
      </c>
      <c r="DP25" t="str">
        <f t="shared" si="31"/>
        <v>arts | Schwarz | S | seo_keywords_de</v>
      </c>
      <c r="DQ25" t="str">
        <f t="shared" si="31"/>
        <v>arts | Schwarz | S | title_en</v>
      </c>
      <c r="DR25" t="str">
        <f t="shared" si="31"/>
        <v>arts | Schwarz | S | description_en</v>
      </c>
      <c r="DS25" t="str">
        <f t="shared" si="31"/>
        <v>arts | Schwarz | S | bullet1_en</v>
      </c>
      <c r="DT25" t="str">
        <f t="shared" si="31"/>
        <v>arts | Schwarz | S | bullet2_en</v>
      </c>
      <c r="DU25" t="str">
        <f t="shared" si="31"/>
        <v>arts | Schwarz | S | bullet3_en</v>
      </c>
      <c r="DV25" t="str">
        <f t="shared" si="31"/>
        <v>arts | Schwarz | S | bullet4_en</v>
      </c>
      <c r="DW25" t="str">
        <f t="shared" si="31"/>
        <v>arts | Schwarz | S | bullet5_en</v>
      </c>
      <c r="DX25" t="str">
        <f t="shared" si="31"/>
        <v>arts | Schwarz | S | seo_title_en</v>
      </c>
      <c r="DY25" t="str">
        <f t="shared" si="31"/>
        <v>arts | Schwarz | S | seo_description_en</v>
      </c>
      <c r="DZ25" t="str">
        <f t="shared" si="31"/>
        <v>arts | Schwarz | S | seo_keywords_en</v>
      </c>
      <c r="EA25" t="str">
        <f t="shared" si="31"/>
        <v>arts | Schwarz | S | title_tr</v>
      </c>
      <c r="EB25" t="str">
        <f t="shared" si="31"/>
        <v>arts | Schwarz | S | description_tr</v>
      </c>
      <c r="EC25" t="str">
        <f t="shared" si="31"/>
        <v>arts | Schwarz | S | bullet1_tr</v>
      </c>
      <c r="ED25" t="str">
        <f t="shared" si="31"/>
        <v>arts | Schwarz | S | bullet2_tr</v>
      </c>
      <c r="EE25" t="str">
        <f t="shared" si="31"/>
        <v>arts | Schwarz | S | bullet3_tr</v>
      </c>
      <c r="EF25" t="str">
        <f t="shared" si="31"/>
        <v>arts | Schwarz | S | bullet4_tr</v>
      </c>
      <c r="EG25" t="str">
        <f t="shared" si="31"/>
        <v>arts | Schwarz | S | bullet5_tr</v>
      </c>
      <c r="EH25" t="str">
        <f t="shared" si="31"/>
        <v>arts | Schwarz | S | seo_title_tr</v>
      </c>
      <c r="EI25" t="str">
        <f t="shared" si="31"/>
        <v>arts | Schwarz | S | seo_description_tr</v>
      </c>
      <c r="EJ25" t="str">
        <f t="shared" si="31"/>
        <v>arts | Schwarz | S | seo_keywords_tr</v>
      </c>
      <c r="EK25" t="str">
        <f t="shared" si="31"/>
        <v>arts | Schwarz | S | title_fr</v>
      </c>
      <c r="EL25" t="str">
        <f t="shared" si="31"/>
        <v>arts | Schwarz | S | description_fr</v>
      </c>
      <c r="EM25" t="str">
        <f t="shared" si="31"/>
        <v>arts | Schwarz | S | bullet1_fr</v>
      </c>
      <c r="EN25" t="str">
        <f t="shared" si="31"/>
        <v>arts | Schwarz | S | bullet2_fr</v>
      </c>
      <c r="EO25" t="str">
        <f t="shared" si="31"/>
        <v>arts | Schwarz | S | bullet3_fr</v>
      </c>
      <c r="EP25" t="str">
        <f t="shared" si="31"/>
        <v>arts | Schwarz | S | bullet4_fr</v>
      </c>
      <c r="EQ25" t="str">
        <f t="shared" si="31"/>
        <v>arts | Schwarz | S | bullet5_fr</v>
      </c>
      <c r="ER25" t="str">
        <f t="shared" si="31"/>
        <v>arts | Schwarz | S | seo_title_fr</v>
      </c>
      <c r="ES25" t="str">
        <f t="shared" si="31"/>
        <v>arts | Schwarz | S | seo_description_fr</v>
      </c>
      <c r="ET25" t="str">
        <f t="shared" si="31"/>
        <v>arts | Schwarz | S | seo_keywords_fr</v>
      </c>
      <c r="EU25" t="str">
        <f t="shared" si="31"/>
        <v>arts | Schwarz | S | title_it</v>
      </c>
      <c r="EV25" t="str">
        <f t="shared" si="31"/>
        <v>arts | Schwarz | S | description_it</v>
      </c>
      <c r="EW25" t="str">
        <f t="shared" si="31"/>
        <v>arts | Schwarz | S | bullet1_it</v>
      </c>
      <c r="EX25" t="str">
        <f t="shared" si="31"/>
        <v>arts | Schwarz | S | bullet2_it</v>
      </c>
      <c r="EY25" t="str">
        <f t="shared" si="31"/>
        <v>arts | Schwarz | S | bullet3_it</v>
      </c>
      <c r="EZ25" t="str">
        <f t="shared" si="31"/>
        <v>arts | Schwarz | S | bullet4_it</v>
      </c>
      <c r="FA25" t="str">
        <f t="shared" si="31"/>
        <v>arts | Schwarz | S | bullet5_it</v>
      </c>
      <c r="FB25" t="str">
        <f t="shared" si="31"/>
        <v>arts | Schwarz | S | seo_title_it</v>
      </c>
      <c r="FC25" t="str">
        <f t="shared" si="31"/>
        <v>arts | Schwarz | S | seo_description_it</v>
      </c>
      <c r="FD25" t="str">
        <f t="shared" si="31"/>
        <v>arts | Schwarz | S | seo_keywords_it</v>
      </c>
      <c r="FE25" t="str">
        <f t="shared" si="31"/>
        <v>arts | Schwarz | S | title_es</v>
      </c>
      <c r="FF25" t="str">
        <f t="shared" si="31"/>
        <v>arts | Schwarz | S | description_es</v>
      </c>
      <c r="FG25" t="str">
        <f t="shared" si="31"/>
        <v>arts | Schwarz | S | bullet1_es</v>
      </c>
      <c r="FH25" t="str">
        <f t="shared" si="31"/>
        <v>arts | Schwarz | S | bullet2_es</v>
      </c>
      <c r="FI25" t="str">
        <f t="shared" si="31"/>
        <v>arts | Schwarz | S | bullet3_es</v>
      </c>
      <c r="FJ25" t="str">
        <f t="shared" si="31"/>
        <v>arts | Schwarz | S | bullet4_es</v>
      </c>
      <c r="FK25" t="str">
        <f t="shared" si="31"/>
        <v>arts | Schwarz | S | bullet5_es</v>
      </c>
      <c r="FL25" t="str">
        <f t="shared" si="31"/>
        <v>arts | Schwarz | S | seo_title_es</v>
      </c>
      <c r="FM25" t="str">
        <f t="shared" si="31"/>
        <v>arts | Schwarz | S | seo_description_es</v>
      </c>
      <c r="FN25" t="str">
        <f t="shared" si="31"/>
        <v>arts | Schwarz | S | seo_keywords_es</v>
      </c>
      <c r="FO25">
        <f t="shared" si="13"/>
        <v>27.990000000000002</v>
      </c>
      <c r="FP25">
        <f t="shared" si="7"/>
        <v>30.990000000000002</v>
      </c>
      <c r="FQ25">
        <f t="shared" si="8"/>
        <v>25.990000000000002</v>
      </c>
    </row>
    <row r="26" spans="1:173" x14ac:dyDescent="0.35">
      <c r="A26" t="s">
        <v>372</v>
      </c>
      <c r="B26" t="str">
        <f t="shared" ref="B26:B40" si="36">"eco-parent2-160526-"&amp;Y26&amp;"-"&amp;AA26</f>
        <v>eco-parent2-160526-Schwarz-M</v>
      </c>
      <c r="C26" t="s">
        <v>418</v>
      </c>
      <c r="D26" t="s">
        <v>354</v>
      </c>
      <c r="E26">
        <f t="shared" ref="E26:E40" si="37">E25+1</f>
        <v>2234567892</v>
      </c>
      <c r="F26">
        <v>20</v>
      </c>
      <c r="G26" t="s">
        <v>357</v>
      </c>
      <c r="H26" t="s">
        <v>417</v>
      </c>
      <c r="I26" t="s">
        <v>404</v>
      </c>
      <c r="J26" t="s">
        <v>360</v>
      </c>
      <c r="K26" t="s">
        <v>423</v>
      </c>
      <c r="L26" t="s">
        <v>425</v>
      </c>
      <c r="M26" t="str">
        <f t="shared" si="2"/>
        <v>Tal2</v>
      </c>
      <c r="N26">
        <f t="shared" ref="N26:N40" si="38">N25+1</f>
        <v>203</v>
      </c>
      <c r="O26">
        <f t="shared" si="10"/>
        <v>20</v>
      </c>
      <c r="P26">
        <f t="shared" ref="P26:Q26" si="39">O26+5</f>
        <v>25</v>
      </c>
      <c r="Q26">
        <f t="shared" si="39"/>
        <v>30</v>
      </c>
      <c r="R26" s="18" t="s">
        <v>434</v>
      </c>
      <c r="S26" s="18" t="s">
        <v>435</v>
      </c>
      <c r="W26" s="18" t="s">
        <v>451</v>
      </c>
      <c r="Y26" t="s">
        <v>413</v>
      </c>
      <c r="AA26" t="s">
        <v>381</v>
      </c>
      <c r="AJ26" t="s">
        <v>364</v>
      </c>
      <c r="AK26">
        <f t="shared" ref="AK26:AK40" si="40">AK25+1</f>
        <v>213</v>
      </c>
      <c r="AL26">
        <v>1000</v>
      </c>
      <c r="AM26">
        <f t="shared" si="35"/>
        <v>2234569</v>
      </c>
      <c r="AN26">
        <f t="shared" si="35"/>
        <v>22347</v>
      </c>
      <c r="AO26" s="18" t="s">
        <v>454</v>
      </c>
      <c r="AP26" t="s">
        <v>455</v>
      </c>
      <c r="AQ26" s="18" t="s">
        <v>457</v>
      </c>
      <c r="AR26" t="s">
        <v>456</v>
      </c>
      <c r="AY26" t="s">
        <v>458</v>
      </c>
      <c r="AZ26" t="s">
        <v>517</v>
      </c>
      <c r="BA26" t="s">
        <v>613</v>
      </c>
      <c r="BB26" t="s">
        <v>518</v>
      </c>
      <c r="BC26" t="s">
        <v>459</v>
      </c>
      <c r="BD26" t="s">
        <v>519</v>
      </c>
      <c r="DG26" t="str">
        <f t="shared" si="5"/>
        <v>arts | Schwarz | M | title_de</v>
      </c>
      <c r="DH26" t="str">
        <f t="shared" si="5"/>
        <v>arts | Schwarz | M | description_de</v>
      </c>
      <c r="DI26" t="str">
        <f t="shared" si="5"/>
        <v>arts | Schwarz | M | bullet1_de</v>
      </c>
      <c r="DJ26" t="str">
        <f t="shared" si="5"/>
        <v>arts | Schwarz | M | bullet2_de</v>
      </c>
      <c r="DK26" t="str">
        <f t="shared" si="5"/>
        <v>arts | Schwarz | M | bullet3_de</v>
      </c>
      <c r="DL26" t="str">
        <f t="shared" si="20"/>
        <v>arts | Schwarz | M | bullet4_de</v>
      </c>
      <c r="DM26" t="str">
        <f t="shared" si="6"/>
        <v>arts | Schwarz | M | bullet5_de</v>
      </c>
      <c r="DN26" t="str">
        <f t="shared" si="6"/>
        <v>arts | Schwarz | M | seo_title_de</v>
      </c>
      <c r="DO26" t="str">
        <f t="shared" si="6"/>
        <v>arts | Schwarz | M | seo_description_de</v>
      </c>
      <c r="DP26" t="str">
        <f t="shared" si="31"/>
        <v>arts | Schwarz | M | seo_keywords_de</v>
      </c>
      <c r="DQ26" t="str">
        <f t="shared" si="31"/>
        <v>arts | Schwarz | M | title_en</v>
      </c>
      <c r="DR26" t="str">
        <f t="shared" si="31"/>
        <v>arts | Schwarz | M | description_en</v>
      </c>
      <c r="DS26" t="str">
        <f t="shared" si="31"/>
        <v>arts | Schwarz | M | bullet1_en</v>
      </c>
      <c r="DT26" t="str">
        <f t="shared" si="31"/>
        <v>arts | Schwarz | M | bullet2_en</v>
      </c>
      <c r="DU26" t="str">
        <f t="shared" si="31"/>
        <v>arts | Schwarz | M | bullet3_en</v>
      </c>
      <c r="DV26" t="str">
        <f t="shared" si="31"/>
        <v>arts | Schwarz | M | bullet4_en</v>
      </c>
      <c r="DW26" t="str">
        <f t="shared" si="31"/>
        <v>arts | Schwarz | M | bullet5_en</v>
      </c>
      <c r="DX26" t="str">
        <f t="shared" si="31"/>
        <v>arts | Schwarz | M | seo_title_en</v>
      </c>
      <c r="DY26" t="str">
        <f t="shared" si="31"/>
        <v>arts | Schwarz | M | seo_description_en</v>
      </c>
      <c r="DZ26" t="str">
        <f t="shared" si="31"/>
        <v>arts | Schwarz | M | seo_keywords_en</v>
      </c>
      <c r="EA26" t="str">
        <f t="shared" si="31"/>
        <v>arts | Schwarz | M | title_tr</v>
      </c>
      <c r="EB26" t="str">
        <f t="shared" si="31"/>
        <v>arts | Schwarz | M | description_tr</v>
      </c>
      <c r="EC26" t="str">
        <f t="shared" si="31"/>
        <v>arts | Schwarz | M | bullet1_tr</v>
      </c>
      <c r="ED26" t="str">
        <f t="shared" si="31"/>
        <v>arts | Schwarz | M | bullet2_tr</v>
      </c>
      <c r="EE26" t="str">
        <f t="shared" si="31"/>
        <v>arts | Schwarz | M | bullet3_tr</v>
      </c>
      <c r="EF26" t="str">
        <f t="shared" si="31"/>
        <v>arts | Schwarz | M | bullet4_tr</v>
      </c>
      <c r="EG26" t="str">
        <f t="shared" si="31"/>
        <v>arts | Schwarz | M | bullet5_tr</v>
      </c>
      <c r="EH26" t="str">
        <f t="shared" si="31"/>
        <v>arts | Schwarz | M | seo_title_tr</v>
      </c>
      <c r="EI26" t="str">
        <f t="shared" si="31"/>
        <v>arts | Schwarz | M | seo_description_tr</v>
      </c>
      <c r="EJ26" t="str">
        <f t="shared" si="31"/>
        <v>arts | Schwarz | M | seo_keywords_tr</v>
      </c>
      <c r="EK26" t="str">
        <f t="shared" si="31"/>
        <v>arts | Schwarz | M | title_fr</v>
      </c>
      <c r="EL26" t="str">
        <f t="shared" si="31"/>
        <v>arts | Schwarz | M | description_fr</v>
      </c>
      <c r="EM26" t="str">
        <f t="shared" si="31"/>
        <v>arts | Schwarz | M | bullet1_fr</v>
      </c>
      <c r="EN26" t="str">
        <f t="shared" si="31"/>
        <v>arts | Schwarz | M | bullet2_fr</v>
      </c>
      <c r="EO26" t="str">
        <f t="shared" si="31"/>
        <v>arts | Schwarz | M | bullet3_fr</v>
      </c>
      <c r="EP26" t="str">
        <f t="shared" si="31"/>
        <v>arts | Schwarz | M | bullet4_fr</v>
      </c>
      <c r="EQ26" t="str">
        <f t="shared" si="31"/>
        <v>arts | Schwarz | M | bullet5_fr</v>
      </c>
      <c r="ER26" t="str">
        <f t="shared" si="31"/>
        <v>arts | Schwarz | M | seo_title_fr</v>
      </c>
      <c r="ES26" t="str">
        <f t="shared" si="31"/>
        <v>arts | Schwarz | M | seo_description_fr</v>
      </c>
      <c r="ET26" t="str">
        <f t="shared" si="31"/>
        <v>arts | Schwarz | M | seo_keywords_fr</v>
      </c>
      <c r="EU26" t="str">
        <f t="shared" si="31"/>
        <v>arts | Schwarz | M | title_it</v>
      </c>
      <c r="EV26" t="str">
        <f t="shared" si="31"/>
        <v>arts | Schwarz | M | description_it</v>
      </c>
      <c r="EW26" t="str">
        <f t="shared" si="31"/>
        <v>arts | Schwarz | M | bullet1_it</v>
      </c>
      <c r="EX26" t="str">
        <f t="shared" si="31"/>
        <v>arts | Schwarz | M | bullet2_it</v>
      </c>
      <c r="EY26" t="str">
        <f t="shared" si="31"/>
        <v>arts | Schwarz | M | bullet3_it</v>
      </c>
      <c r="EZ26" t="str">
        <f t="shared" si="31"/>
        <v>arts | Schwarz | M | bullet4_it</v>
      </c>
      <c r="FA26" t="str">
        <f t="shared" si="31"/>
        <v>arts | Schwarz | M | bullet5_it</v>
      </c>
      <c r="FB26" t="str">
        <f t="shared" si="31"/>
        <v>arts | Schwarz | M | seo_title_it</v>
      </c>
      <c r="FC26" t="str">
        <f t="shared" si="31"/>
        <v>arts | Schwarz | M | seo_description_it</v>
      </c>
      <c r="FD26" t="str">
        <f t="shared" si="31"/>
        <v>arts | Schwarz | M | seo_keywords_it</v>
      </c>
      <c r="FE26" t="str">
        <f t="shared" si="31"/>
        <v>arts | Schwarz | M | title_es</v>
      </c>
      <c r="FF26" t="str">
        <f t="shared" si="31"/>
        <v>arts | Schwarz | M | description_es</v>
      </c>
      <c r="FG26" t="str">
        <f t="shared" si="31"/>
        <v>arts | Schwarz | M | bullet1_es</v>
      </c>
      <c r="FH26" t="str">
        <f t="shared" si="31"/>
        <v>arts | Schwarz | M | bullet2_es</v>
      </c>
      <c r="FI26" t="str">
        <f t="shared" si="31"/>
        <v>arts | Schwarz | M | bullet3_es</v>
      </c>
      <c r="FJ26" t="str">
        <f t="shared" si="31"/>
        <v>arts | Schwarz | M | bullet4_es</v>
      </c>
      <c r="FK26" t="str">
        <f t="shared" si="31"/>
        <v>arts | Schwarz | M | bullet5_es</v>
      </c>
      <c r="FL26" t="str">
        <f t="shared" si="31"/>
        <v>arts | Schwarz | M | seo_title_es</v>
      </c>
      <c r="FM26" t="str">
        <f t="shared" si="31"/>
        <v>arts | Schwarz | M | seo_description_es</v>
      </c>
      <c r="FN26" t="str">
        <f t="shared" si="31"/>
        <v>arts | Schwarz | M | seo_keywords_es</v>
      </c>
      <c r="FO26">
        <f t="shared" si="13"/>
        <v>28.990000000000002</v>
      </c>
      <c r="FP26">
        <f t="shared" si="7"/>
        <v>31.990000000000002</v>
      </c>
      <c r="FQ26">
        <f t="shared" si="8"/>
        <v>26.990000000000002</v>
      </c>
    </row>
    <row r="27" spans="1:173" x14ac:dyDescent="0.35">
      <c r="A27" t="s">
        <v>372</v>
      </c>
      <c r="B27" t="str">
        <f t="shared" si="36"/>
        <v>eco-parent2-160526-Schwarz-L</v>
      </c>
      <c r="C27" t="s">
        <v>418</v>
      </c>
      <c r="D27" t="s">
        <v>354</v>
      </c>
      <c r="E27">
        <f t="shared" si="37"/>
        <v>2234567893</v>
      </c>
      <c r="F27">
        <f>F26+10</f>
        <v>30</v>
      </c>
      <c r="G27" t="s">
        <v>357</v>
      </c>
      <c r="H27" t="s">
        <v>417</v>
      </c>
      <c r="I27" t="s">
        <v>404</v>
      </c>
      <c r="J27" t="s">
        <v>360</v>
      </c>
      <c r="K27" t="s">
        <v>423</v>
      </c>
      <c r="L27" t="s">
        <v>425</v>
      </c>
      <c r="M27" t="str">
        <f t="shared" si="2"/>
        <v>Tal2</v>
      </c>
      <c r="N27">
        <f t="shared" si="38"/>
        <v>204</v>
      </c>
      <c r="O27">
        <f t="shared" si="10"/>
        <v>21</v>
      </c>
      <c r="P27">
        <f t="shared" ref="P27:Q27" si="41">O27+5</f>
        <v>26</v>
      </c>
      <c r="Q27">
        <f t="shared" si="41"/>
        <v>31</v>
      </c>
      <c r="R27" s="18" t="s">
        <v>434</v>
      </c>
      <c r="S27" s="18" t="s">
        <v>435</v>
      </c>
      <c r="W27" s="18" t="s">
        <v>451</v>
      </c>
      <c r="Y27" t="s">
        <v>413</v>
      </c>
      <c r="AA27" t="s">
        <v>406</v>
      </c>
      <c r="AJ27" t="s">
        <v>364</v>
      </c>
      <c r="AK27">
        <f t="shared" si="40"/>
        <v>214</v>
      </c>
      <c r="AL27">
        <v>1000</v>
      </c>
      <c r="AM27">
        <f t="shared" si="35"/>
        <v>2234570</v>
      </c>
      <c r="AN27">
        <f t="shared" si="35"/>
        <v>22348</v>
      </c>
      <c r="AO27" s="18" t="s">
        <v>454</v>
      </c>
      <c r="AP27" t="s">
        <v>455</v>
      </c>
      <c r="AQ27" s="18" t="s">
        <v>457</v>
      </c>
      <c r="AR27" t="s">
        <v>456</v>
      </c>
      <c r="AY27" t="s">
        <v>458</v>
      </c>
      <c r="AZ27" t="s">
        <v>520</v>
      </c>
      <c r="BA27" t="s">
        <v>613</v>
      </c>
      <c r="BB27" t="s">
        <v>521</v>
      </c>
      <c r="BC27" t="s">
        <v>459</v>
      </c>
      <c r="BD27" t="s">
        <v>522</v>
      </c>
      <c r="DG27" t="str">
        <f t="shared" si="5"/>
        <v>arts | Schwarz | L | title_de</v>
      </c>
      <c r="DH27" t="str">
        <f t="shared" si="5"/>
        <v>arts | Schwarz | L | description_de</v>
      </c>
      <c r="DI27" t="str">
        <f t="shared" si="5"/>
        <v>arts | Schwarz | L | bullet1_de</v>
      </c>
      <c r="DJ27" t="str">
        <f t="shared" si="5"/>
        <v>arts | Schwarz | L | bullet2_de</v>
      </c>
      <c r="DK27" t="str">
        <f t="shared" si="5"/>
        <v>arts | Schwarz | L | bullet3_de</v>
      </c>
      <c r="DL27" t="str">
        <f t="shared" si="20"/>
        <v>arts | Schwarz | L | bullet4_de</v>
      </c>
      <c r="DM27" t="str">
        <f t="shared" si="6"/>
        <v>arts | Schwarz | L | bullet5_de</v>
      </c>
      <c r="DN27" t="str">
        <f t="shared" si="6"/>
        <v>arts | Schwarz | L | seo_title_de</v>
      </c>
      <c r="DO27" t="str">
        <f t="shared" si="6"/>
        <v>arts | Schwarz | L | seo_description_de</v>
      </c>
      <c r="DP27" t="str">
        <f t="shared" si="31"/>
        <v>arts | Schwarz | L | seo_keywords_de</v>
      </c>
      <c r="DQ27" t="str">
        <f t="shared" si="31"/>
        <v>arts | Schwarz | L | title_en</v>
      </c>
      <c r="DR27" t="str">
        <f t="shared" si="31"/>
        <v>arts | Schwarz | L | description_en</v>
      </c>
      <c r="DS27" t="str">
        <f t="shared" si="31"/>
        <v>arts | Schwarz | L | bullet1_en</v>
      </c>
      <c r="DT27" t="str">
        <f t="shared" si="31"/>
        <v>arts | Schwarz | L | bullet2_en</v>
      </c>
      <c r="DU27" t="str">
        <f t="shared" si="31"/>
        <v>arts | Schwarz | L | bullet3_en</v>
      </c>
      <c r="DV27" t="str">
        <f t="shared" si="31"/>
        <v>arts | Schwarz | L | bullet4_en</v>
      </c>
      <c r="DW27" t="str">
        <f t="shared" si="31"/>
        <v>arts | Schwarz | L | bullet5_en</v>
      </c>
      <c r="DX27" t="str">
        <f t="shared" si="31"/>
        <v>arts | Schwarz | L | seo_title_en</v>
      </c>
      <c r="DY27" t="str">
        <f t="shared" si="31"/>
        <v>arts | Schwarz | L | seo_description_en</v>
      </c>
      <c r="DZ27" t="str">
        <f t="shared" si="31"/>
        <v>arts | Schwarz | L | seo_keywords_en</v>
      </c>
      <c r="EA27" t="str">
        <f t="shared" si="31"/>
        <v>arts | Schwarz | L | title_tr</v>
      </c>
      <c r="EB27" t="str">
        <f t="shared" si="31"/>
        <v>arts | Schwarz | L | description_tr</v>
      </c>
      <c r="EC27" t="str">
        <f t="shared" ref="DP27:FN32" si="42">MID($I27,1,FIND("-",$I27,1)-1)&amp;" | "&amp;$Y27&amp;" | "&amp;$AA27&amp;" | "&amp;EC$2</f>
        <v>arts | Schwarz | L | bullet1_tr</v>
      </c>
      <c r="ED27" t="str">
        <f t="shared" si="42"/>
        <v>arts | Schwarz | L | bullet2_tr</v>
      </c>
      <c r="EE27" t="str">
        <f t="shared" si="42"/>
        <v>arts | Schwarz | L | bullet3_tr</v>
      </c>
      <c r="EF27" t="str">
        <f t="shared" si="42"/>
        <v>arts | Schwarz | L | bullet4_tr</v>
      </c>
      <c r="EG27" t="str">
        <f t="shared" si="42"/>
        <v>arts | Schwarz | L | bullet5_tr</v>
      </c>
      <c r="EH27" t="str">
        <f t="shared" si="42"/>
        <v>arts | Schwarz | L | seo_title_tr</v>
      </c>
      <c r="EI27" t="str">
        <f t="shared" si="42"/>
        <v>arts | Schwarz | L | seo_description_tr</v>
      </c>
      <c r="EJ27" t="str">
        <f t="shared" si="42"/>
        <v>arts | Schwarz | L | seo_keywords_tr</v>
      </c>
      <c r="EK27" t="str">
        <f t="shared" si="42"/>
        <v>arts | Schwarz | L | title_fr</v>
      </c>
      <c r="EL27" t="str">
        <f t="shared" si="42"/>
        <v>arts | Schwarz | L | description_fr</v>
      </c>
      <c r="EM27" t="str">
        <f t="shared" si="42"/>
        <v>arts | Schwarz | L | bullet1_fr</v>
      </c>
      <c r="EN27" t="str">
        <f t="shared" si="42"/>
        <v>arts | Schwarz | L | bullet2_fr</v>
      </c>
      <c r="EO27" t="str">
        <f t="shared" si="42"/>
        <v>arts | Schwarz | L | bullet3_fr</v>
      </c>
      <c r="EP27" t="str">
        <f t="shared" si="42"/>
        <v>arts | Schwarz | L | bullet4_fr</v>
      </c>
      <c r="EQ27" t="str">
        <f t="shared" si="42"/>
        <v>arts | Schwarz | L | bullet5_fr</v>
      </c>
      <c r="ER27" t="str">
        <f t="shared" si="42"/>
        <v>arts | Schwarz | L | seo_title_fr</v>
      </c>
      <c r="ES27" t="str">
        <f t="shared" si="42"/>
        <v>arts | Schwarz | L | seo_description_fr</v>
      </c>
      <c r="ET27" t="str">
        <f t="shared" si="42"/>
        <v>arts | Schwarz | L | seo_keywords_fr</v>
      </c>
      <c r="EU27" t="str">
        <f t="shared" si="42"/>
        <v>arts | Schwarz | L | title_it</v>
      </c>
      <c r="EV27" t="str">
        <f t="shared" si="42"/>
        <v>arts | Schwarz | L | description_it</v>
      </c>
      <c r="EW27" t="str">
        <f t="shared" si="42"/>
        <v>arts | Schwarz | L | bullet1_it</v>
      </c>
      <c r="EX27" t="str">
        <f t="shared" si="42"/>
        <v>arts | Schwarz | L | bullet2_it</v>
      </c>
      <c r="EY27" t="str">
        <f t="shared" si="42"/>
        <v>arts | Schwarz | L | bullet3_it</v>
      </c>
      <c r="EZ27" t="str">
        <f t="shared" si="42"/>
        <v>arts | Schwarz | L | bullet4_it</v>
      </c>
      <c r="FA27" t="str">
        <f t="shared" si="42"/>
        <v>arts | Schwarz | L | bullet5_it</v>
      </c>
      <c r="FB27" t="str">
        <f t="shared" si="42"/>
        <v>arts | Schwarz | L | seo_title_it</v>
      </c>
      <c r="FC27" t="str">
        <f t="shared" si="42"/>
        <v>arts | Schwarz | L | seo_description_it</v>
      </c>
      <c r="FD27" t="str">
        <f t="shared" si="42"/>
        <v>arts | Schwarz | L | seo_keywords_it</v>
      </c>
      <c r="FE27" t="str">
        <f t="shared" si="42"/>
        <v>arts | Schwarz | L | title_es</v>
      </c>
      <c r="FF27" t="str">
        <f t="shared" si="42"/>
        <v>arts | Schwarz | L | description_es</v>
      </c>
      <c r="FG27" t="str">
        <f t="shared" si="42"/>
        <v>arts | Schwarz | L | bullet1_es</v>
      </c>
      <c r="FH27" t="str">
        <f t="shared" si="42"/>
        <v>arts | Schwarz | L | bullet2_es</v>
      </c>
      <c r="FI27" t="str">
        <f t="shared" si="42"/>
        <v>arts | Schwarz | L | bullet3_es</v>
      </c>
      <c r="FJ27" t="str">
        <f t="shared" si="42"/>
        <v>arts | Schwarz | L | bullet4_es</v>
      </c>
      <c r="FK27" t="str">
        <f t="shared" si="42"/>
        <v>arts | Schwarz | L | bullet5_es</v>
      </c>
      <c r="FL27" t="str">
        <f t="shared" si="42"/>
        <v>arts | Schwarz | L | seo_title_es</v>
      </c>
      <c r="FM27" t="str">
        <f t="shared" si="42"/>
        <v>arts | Schwarz | L | seo_description_es</v>
      </c>
      <c r="FN27" t="str">
        <f t="shared" si="42"/>
        <v>arts | Schwarz | L | seo_keywords_es</v>
      </c>
      <c r="FO27">
        <f t="shared" si="13"/>
        <v>29.990000000000002</v>
      </c>
      <c r="FP27">
        <f t="shared" si="7"/>
        <v>32.99</v>
      </c>
      <c r="FQ27">
        <f t="shared" si="8"/>
        <v>27.990000000000002</v>
      </c>
    </row>
    <row r="28" spans="1:173" x14ac:dyDescent="0.35">
      <c r="A28" t="s">
        <v>372</v>
      </c>
      <c r="B28" t="str">
        <f t="shared" si="36"/>
        <v>eco-parent2-160526-Schwarz-XL</v>
      </c>
      <c r="C28" t="s">
        <v>418</v>
      </c>
      <c r="D28" t="s">
        <v>354</v>
      </c>
      <c r="E28">
        <f t="shared" si="37"/>
        <v>2234567894</v>
      </c>
      <c r="F28">
        <f t="shared" ref="F28:F40" si="43">F27+10</f>
        <v>40</v>
      </c>
      <c r="G28" t="s">
        <v>357</v>
      </c>
      <c r="H28" t="s">
        <v>417</v>
      </c>
      <c r="I28" t="s">
        <v>404</v>
      </c>
      <c r="J28" t="s">
        <v>360</v>
      </c>
      <c r="K28" t="s">
        <v>423</v>
      </c>
      <c r="L28" t="s">
        <v>425</v>
      </c>
      <c r="M28" t="str">
        <f t="shared" si="2"/>
        <v>Tal2</v>
      </c>
      <c r="N28">
        <f t="shared" si="38"/>
        <v>205</v>
      </c>
      <c r="O28">
        <f t="shared" si="10"/>
        <v>22</v>
      </c>
      <c r="P28">
        <f t="shared" ref="P28:Q28" si="44">O28+5</f>
        <v>27</v>
      </c>
      <c r="Q28">
        <f t="shared" si="44"/>
        <v>32</v>
      </c>
      <c r="R28" s="18" t="s">
        <v>434</v>
      </c>
      <c r="S28" s="18" t="s">
        <v>435</v>
      </c>
      <c r="W28" s="18" t="s">
        <v>451</v>
      </c>
      <c r="Y28" t="s">
        <v>413</v>
      </c>
      <c r="AA28" t="s">
        <v>412</v>
      </c>
      <c r="AJ28" t="s">
        <v>364</v>
      </c>
      <c r="AK28">
        <f t="shared" si="40"/>
        <v>215</v>
      </c>
      <c r="AL28">
        <v>1000</v>
      </c>
      <c r="AM28">
        <f t="shared" si="35"/>
        <v>2234571</v>
      </c>
      <c r="AN28">
        <f t="shared" si="35"/>
        <v>22349</v>
      </c>
      <c r="AO28" s="18" t="s">
        <v>454</v>
      </c>
      <c r="AP28" t="s">
        <v>455</v>
      </c>
      <c r="AQ28" s="18" t="s">
        <v>457</v>
      </c>
      <c r="AR28" t="s">
        <v>456</v>
      </c>
      <c r="AY28" t="s">
        <v>458</v>
      </c>
      <c r="AZ28" t="s">
        <v>523</v>
      </c>
      <c r="BA28" t="s">
        <v>613</v>
      </c>
      <c r="BB28" t="s">
        <v>524</v>
      </c>
      <c r="BC28" t="s">
        <v>459</v>
      </c>
      <c r="BD28" t="s">
        <v>525</v>
      </c>
      <c r="DG28" t="str">
        <f t="shared" si="5"/>
        <v>arts | Schwarz | XL | title_de</v>
      </c>
      <c r="DH28" t="str">
        <f t="shared" si="5"/>
        <v>arts | Schwarz | XL | description_de</v>
      </c>
      <c r="DI28" t="str">
        <f t="shared" si="5"/>
        <v>arts | Schwarz | XL | bullet1_de</v>
      </c>
      <c r="DJ28" t="str">
        <f t="shared" si="5"/>
        <v>arts | Schwarz | XL | bullet2_de</v>
      </c>
      <c r="DK28" t="str">
        <f t="shared" si="5"/>
        <v>arts | Schwarz | XL | bullet3_de</v>
      </c>
      <c r="DL28" t="str">
        <f t="shared" si="20"/>
        <v>arts | Schwarz | XL | bullet4_de</v>
      </c>
      <c r="DM28" t="str">
        <f t="shared" si="6"/>
        <v>arts | Schwarz | XL | bullet5_de</v>
      </c>
      <c r="DN28" t="str">
        <f t="shared" si="6"/>
        <v>arts | Schwarz | XL | seo_title_de</v>
      </c>
      <c r="DO28" t="str">
        <f t="shared" si="6"/>
        <v>arts | Schwarz | XL | seo_description_de</v>
      </c>
      <c r="DP28" t="str">
        <f t="shared" si="42"/>
        <v>arts | Schwarz | XL | seo_keywords_de</v>
      </c>
      <c r="DQ28" t="str">
        <f t="shared" si="42"/>
        <v>arts | Schwarz | XL | title_en</v>
      </c>
      <c r="DR28" t="str">
        <f t="shared" si="42"/>
        <v>arts | Schwarz | XL | description_en</v>
      </c>
      <c r="DS28" t="str">
        <f t="shared" si="42"/>
        <v>arts | Schwarz | XL | bullet1_en</v>
      </c>
      <c r="DT28" t="str">
        <f t="shared" si="42"/>
        <v>arts | Schwarz | XL | bullet2_en</v>
      </c>
      <c r="DU28" t="str">
        <f t="shared" si="42"/>
        <v>arts | Schwarz | XL | bullet3_en</v>
      </c>
      <c r="DV28" t="str">
        <f t="shared" si="42"/>
        <v>arts | Schwarz | XL | bullet4_en</v>
      </c>
      <c r="DW28" t="str">
        <f t="shared" si="42"/>
        <v>arts | Schwarz | XL | bullet5_en</v>
      </c>
      <c r="DX28" t="str">
        <f t="shared" si="42"/>
        <v>arts | Schwarz | XL | seo_title_en</v>
      </c>
      <c r="DY28" t="str">
        <f t="shared" si="42"/>
        <v>arts | Schwarz | XL | seo_description_en</v>
      </c>
      <c r="DZ28" t="str">
        <f t="shared" si="42"/>
        <v>arts | Schwarz | XL | seo_keywords_en</v>
      </c>
      <c r="EA28" t="str">
        <f t="shared" si="42"/>
        <v>arts | Schwarz | XL | title_tr</v>
      </c>
      <c r="EB28" t="str">
        <f t="shared" si="42"/>
        <v>arts | Schwarz | XL | description_tr</v>
      </c>
      <c r="EC28" t="str">
        <f t="shared" si="42"/>
        <v>arts | Schwarz | XL | bullet1_tr</v>
      </c>
      <c r="ED28" t="str">
        <f t="shared" si="42"/>
        <v>arts | Schwarz | XL | bullet2_tr</v>
      </c>
      <c r="EE28" t="str">
        <f t="shared" si="42"/>
        <v>arts | Schwarz | XL | bullet3_tr</v>
      </c>
      <c r="EF28" t="str">
        <f t="shared" si="42"/>
        <v>arts | Schwarz | XL | bullet4_tr</v>
      </c>
      <c r="EG28" t="str">
        <f t="shared" si="42"/>
        <v>arts | Schwarz | XL | bullet5_tr</v>
      </c>
      <c r="EH28" t="str">
        <f t="shared" si="42"/>
        <v>arts | Schwarz | XL | seo_title_tr</v>
      </c>
      <c r="EI28" t="str">
        <f t="shared" si="42"/>
        <v>arts | Schwarz | XL | seo_description_tr</v>
      </c>
      <c r="EJ28" t="str">
        <f t="shared" si="42"/>
        <v>arts | Schwarz | XL | seo_keywords_tr</v>
      </c>
      <c r="EK28" t="str">
        <f t="shared" si="42"/>
        <v>arts | Schwarz | XL | title_fr</v>
      </c>
      <c r="EL28" t="str">
        <f t="shared" si="42"/>
        <v>arts | Schwarz | XL | description_fr</v>
      </c>
      <c r="EM28" t="str">
        <f t="shared" si="42"/>
        <v>arts | Schwarz | XL | bullet1_fr</v>
      </c>
      <c r="EN28" t="str">
        <f t="shared" si="42"/>
        <v>arts | Schwarz | XL | bullet2_fr</v>
      </c>
      <c r="EO28" t="str">
        <f t="shared" si="42"/>
        <v>arts | Schwarz | XL | bullet3_fr</v>
      </c>
      <c r="EP28" t="str">
        <f t="shared" si="42"/>
        <v>arts | Schwarz | XL | bullet4_fr</v>
      </c>
      <c r="EQ28" t="str">
        <f t="shared" si="42"/>
        <v>arts | Schwarz | XL | bullet5_fr</v>
      </c>
      <c r="ER28" t="str">
        <f t="shared" si="42"/>
        <v>arts | Schwarz | XL | seo_title_fr</v>
      </c>
      <c r="ES28" t="str">
        <f t="shared" si="42"/>
        <v>arts | Schwarz | XL | seo_description_fr</v>
      </c>
      <c r="ET28" t="str">
        <f t="shared" si="42"/>
        <v>arts | Schwarz | XL | seo_keywords_fr</v>
      </c>
      <c r="EU28" t="str">
        <f t="shared" si="42"/>
        <v>arts | Schwarz | XL | title_it</v>
      </c>
      <c r="EV28" t="str">
        <f t="shared" si="42"/>
        <v>arts | Schwarz | XL | description_it</v>
      </c>
      <c r="EW28" t="str">
        <f t="shared" si="42"/>
        <v>arts | Schwarz | XL | bullet1_it</v>
      </c>
      <c r="EX28" t="str">
        <f t="shared" si="42"/>
        <v>arts | Schwarz | XL | bullet2_it</v>
      </c>
      <c r="EY28" t="str">
        <f t="shared" si="42"/>
        <v>arts | Schwarz | XL | bullet3_it</v>
      </c>
      <c r="EZ28" t="str">
        <f t="shared" si="42"/>
        <v>arts | Schwarz | XL | bullet4_it</v>
      </c>
      <c r="FA28" t="str">
        <f t="shared" si="42"/>
        <v>arts | Schwarz | XL | bullet5_it</v>
      </c>
      <c r="FB28" t="str">
        <f t="shared" si="42"/>
        <v>arts | Schwarz | XL | seo_title_it</v>
      </c>
      <c r="FC28" t="str">
        <f t="shared" si="42"/>
        <v>arts | Schwarz | XL | seo_description_it</v>
      </c>
      <c r="FD28" t="str">
        <f t="shared" si="42"/>
        <v>arts | Schwarz | XL | seo_keywords_it</v>
      </c>
      <c r="FE28" t="str">
        <f t="shared" si="42"/>
        <v>arts | Schwarz | XL | title_es</v>
      </c>
      <c r="FF28" t="str">
        <f t="shared" si="42"/>
        <v>arts | Schwarz | XL | description_es</v>
      </c>
      <c r="FG28" t="str">
        <f t="shared" si="42"/>
        <v>arts | Schwarz | XL | bullet1_es</v>
      </c>
      <c r="FH28" t="str">
        <f t="shared" si="42"/>
        <v>arts | Schwarz | XL | bullet2_es</v>
      </c>
      <c r="FI28" t="str">
        <f t="shared" si="42"/>
        <v>arts | Schwarz | XL | bullet3_es</v>
      </c>
      <c r="FJ28" t="str">
        <f t="shared" si="42"/>
        <v>arts | Schwarz | XL | bullet4_es</v>
      </c>
      <c r="FK28" t="str">
        <f t="shared" si="42"/>
        <v>arts | Schwarz | XL | bullet5_es</v>
      </c>
      <c r="FL28" t="str">
        <f t="shared" si="42"/>
        <v>arts | Schwarz | XL | seo_title_es</v>
      </c>
      <c r="FM28" t="str">
        <f t="shared" si="42"/>
        <v>arts | Schwarz | XL | seo_description_es</v>
      </c>
      <c r="FN28" t="str">
        <f t="shared" si="42"/>
        <v>arts | Schwarz | XL | seo_keywords_es</v>
      </c>
      <c r="FO28">
        <f t="shared" si="13"/>
        <v>30.990000000000002</v>
      </c>
      <c r="FP28">
        <f t="shared" si="7"/>
        <v>33.99</v>
      </c>
      <c r="FQ28">
        <f t="shared" si="8"/>
        <v>28.990000000000002</v>
      </c>
    </row>
    <row r="29" spans="1:173" x14ac:dyDescent="0.35">
      <c r="A29" t="s">
        <v>372</v>
      </c>
      <c r="B29" t="str">
        <f t="shared" si="36"/>
        <v>eco-parent2-160526-Weiß-S</v>
      </c>
      <c r="C29" t="s">
        <v>418</v>
      </c>
      <c r="D29" t="s">
        <v>354</v>
      </c>
      <c r="E29">
        <f t="shared" si="37"/>
        <v>2234567895</v>
      </c>
      <c r="F29">
        <f t="shared" si="43"/>
        <v>50</v>
      </c>
      <c r="G29" t="s">
        <v>357</v>
      </c>
      <c r="H29" t="s">
        <v>417</v>
      </c>
      <c r="I29" t="s">
        <v>404</v>
      </c>
      <c r="J29" t="s">
        <v>360</v>
      </c>
      <c r="K29" t="s">
        <v>423</v>
      </c>
      <c r="L29" t="s">
        <v>425</v>
      </c>
      <c r="M29" t="str">
        <f t="shared" si="2"/>
        <v>Tal2</v>
      </c>
      <c r="N29">
        <f t="shared" si="38"/>
        <v>206</v>
      </c>
      <c r="O29">
        <f t="shared" si="10"/>
        <v>23</v>
      </c>
      <c r="P29">
        <f t="shared" ref="P29:Q29" si="45">O29+5</f>
        <v>28</v>
      </c>
      <c r="Q29">
        <f t="shared" si="45"/>
        <v>33</v>
      </c>
      <c r="R29" s="18" t="s">
        <v>436</v>
      </c>
      <c r="S29" s="18" t="s">
        <v>437</v>
      </c>
      <c r="W29" s="18" t="s">
        <v>450</v>
      </c>
      <c r="Y29" t="s">
        <v>414</v>
      </c>
      <c r="AA29" t="s">
        <v>378</v>
      </c>
      <c r="AJ29" t="s">
        <v>364</v>
      </c>
      <c r="AK29">
        <f t="shared" si="40"/>
        <v>216</v>
      </c>
      <c r="AL29">
        <v>1000</v>
      </c>
      <c r="AM29">
        <f t="shared" si="35"/>
        <v>2234572</v>
      </c>
      <c r="AN29">
        <f t="shared" si="35"/>
        <v>22350</v>
      </c>
      <c r="AO29" s="18" t="s">
        <v>454</v>
      </c>
      <c r="AP29" t="s">
        <v>455</v>
      </c>
      <c r="AQ29" s="18" t="s">
        <v>457</v>
      </c>
      <c r="AR29" t="s">
        <v>456</v>
      </c>
      <c r="AY29" t="s">
        <v>458</v>
      </c>
      <c r="AZ29" t="s">
        <v>526</v>
      </c>
      <c r="BA29" t="s">
        <v>613</v>
      </c>
      <c r="BB29" t="s">
        <v>527</v>
      </c>
      <c r="BC29" t="s">
        <v>459</v>
      </c>
      <c r="BD29" t="s">
        <v>528</v>
      </c>
      <c r="DG29" t="str">
        <f t="shared" si="5"/>
        <v>arts | Weiß | S | title_de</v>
      </c>
      <c r="DH29" t="str">
        <f t="shared" si="5"/>
        <v>arts | Weiß | S | description_de</v>
      </c>
      <c r="DI29" t="str">
        <f t="shared" si="5"/>
        <v>arts | Weiß | S | bullet1_de</v>
      </c>
      <c r="DJ29" t="str">
        <f t="shared" si="5"/>
        <v>arts | Weiß | S | bullet2_de</v>
      </c>
      <c r="DK29" t="str">
        <f t="shared" si="5"/>
        <v>arts | Weiß | S | bullet3_de</v>
      </c>
      <c r="DL29" t="str">
        <f t="shared" si="20"/>
        <v>arts | Weiß | S | bullet4_de</v>
      </c>
      <c r="DM29" t="str">
        <f t="shared" si="6"/>
        <v>arts | Weiß | S | bullet5_de</v>
      </c>
      <c r="DN29" t="str">
        <f t="shared" si="6"/>
        <v>arts | Weiß | S | seo_title_de</v>
      </c>
      <c r="DO29" t="str">
        <f t="shared" si="6"/>
        <v>arts | Weiß | S | seo_description_de</v>
      </c>
      <c r="DP29" t="str">
        <f t="shared" si="42"/>
        <v>arts | Weiß | S | seo_keywords_de</v>
      </c>
      <c r="DQ29" t="str">
        <f t="shared" si="42"/>
        <v>arts | Weiß | S | title_en</v>
      </c>
      <c r="DR29" t="str">
        <f t="shared" si="42"/>
        <v>arts | Weiß | S | description_en</v>
      </c>
      <c r="DS29" t="str">
        <f t="shared" si="42"/>
        <v>arts | Weiß | S | bullet1_en</v>
      </c>
      <c r="DT29" t="str">
        <f t="shared" si="42"/>
        <v>arts | Weiß | S | bullet2_en</v>
      </c>
      <c r="DU29" t="str">
        <f t="shared" si="42"/>
        <v>arts | Weiß | S | bullet3_en</v>
      </c>
      <c r="DV29" t="str">
        <f t="shared" si="42"/>
        <v>arts | Weiß | S | bullet4_en</v>
      </c>
      <c r="DW29" t="str">
        <f t="shared" si="42"/>
        <v>arts | Weiß | S | bullet5_en</v>
      </c>
      <c r="DX29" t="str">
        <f t="shared" si="42"/>
        <v>arts | Weiß | S | seo_title_en</v>
      </c>
      <c r="DY29" t="str">
        <f t="shared" si="42"/>
        <v>arts | Weiß | S | seo_description_en</v>
      </c>
      <c r="DZ29" t="str">
        <f t="shared" si="42"/>
        <v>arts | Weiß | S | seo_keywords_en</v>
      </c>
      <c r="EA29" t="str">
        <f t="shared" si="42"/>
        <v>arts | Weiß | S | title_tr</v>
      </c>
      <c r="EB29" t="str">
        <f t="shared" si="42"/>
        <v>arts | Weiß | S | description_tr</v>
      </c>
      <c r="EC29" t="str">
        <f t="shared" si="42"/>
        <v>arts | Weiß | S | bullet1_tr</v>
      </c>
      <c r="ED29" t="str">
        <f t="shared" si="42"/>
        <v>arts | Weiß | S | bullet2_tr</v>
      </c>
      <c r="EE29" t="str">
        <f t="shared" si="42"/>
        <v>arts | Weiß | S | bullet3_tr</v>
      </c>
      <c r="EF29" t="str">
        <f t="shared" si="42"/>
        <v>arts | Weiß | S | bullet4_tr</v>
      </c>
      <c r="EG29" t="str">
        <f t="shared" si="42"/>
        <v>arts | Weiß | S | bullet5_tr</v>
      </c>
      <c r="EH29" t="str">
        <f t="shared" si="42"/>
        <v>arts | Weiß | S | seo_title_tr</v>
      </c>
      <c r="EI29" t="str">
        <f t="shared" si="42"/>
        <v>arts | Weiß | S | seo_description_tr</v>
      </c>
      <c r="EJ29" t="str">
        <f t="shared" si="42"/>
        <v>arts | Weiß | S | seo_keywords_tr</v>
      </c>
      <c r="EK29" t="str">
        <f t="shared" si="42"/>
        <v>arts | Weiß | S | title_fr</v>
      </c>
      <c r="EL29" t="str">
        <f t="shared" si="42"/>
        <v>arts | Weiß | S | description_fr</v>
      </c>
      <c r="EM29" t="str">
        <f t="shared" si="42"/>
        <v>arts | Weiß | S | bullet1_fr</v>
      </c>
      <c r="EN29" t="str">
        <f t="shared" si="42"/>
        <v>arts | Weiß | S | bullet2_fr</v>
      </c>
      <c r="EO29" t="str">
        <f t="shared" si="42"/>
        <v>arts | Weiß | S | bullet3_fr</v>
      </c>
      <c r="EP29" t="str">
        <f t="shared" si="42"/>
        <v>arts | Weiß | S | bullet4_fr</v>
      </c>
      <c r="EQ29" t="str">
        <f t="shared" si="42"/>
        <v>arts | Weiß | S | bullet5_fr</v>
      </c>
      <c r="ER29" t="str">
        <f t="shared" si="42"/>
        <v>arts | Weiß | S | seo_title_fr</v>
      </c>
      <c r="ES29" t="str">
        <f t="shared" si="42"/>
        <v>arts | Weiß | S | seo_description_fr</v>
      </c>
      <c r="ET29" t="str">
        <f t="shared" si="42"/>
        <v>arts | Weiß | S | seo_keywords_fr</v>
      </c>
      <c r="EU29" t="str">
        <f t="shared" si="42"/>
        <v>arts | Weiß | S | title_it</v>
      </c>
      <c r="EV29" t="str">
        <f t="shared" si="42"/>
        <v>arts | Weiß | S | description_it</v>
      </c>
      <c r="EW29" t="str">
        <f t="shared" si="42"/>
        <v>arts | Weiß | S | bullet1_it</v>
      </c>
      <c r="EX29" t="str">
        <f t="shared" si="42"/>
        <v>arts | Weiß | S | bullet2_it</v>
      </c>
      <c r="EY29" t="str">
        <f t="shared" si="42"/>
        <v>arts | Weiß | S | bullet3_it</v>
      </c>
      <c r="EZ29" t="str">
        <f t="shared" si="42"/>
        <v>arts | Weiß | S | bullet4_it</v>
      </c>
      <c r="FA29" t="str">
        <f t="shared" si="42"/>
        <v>arts | Weiß | S | bullet5_it</v>
      </c>
      <c r="FB29" t="str">
        <f t="shared" si="42"/>
        <v>arts | Weiß | S | seo_title_it</v>
      </c>
      <c r="FC29" t="str">
        <f t="shared" si="42"/>
        <v>arts | Weiß | S | seo_description_it</v>
      </c>
      <c r="FD29" t="str">
        <f t="shared" si="42"/>
        <v>arts | Weiß | S | seo_keywords_it</v>
      </c>
      <c r="FE29" t="str">
        <f t="shared" si="42"/>
        <v>arts | Weiß | S | title_es</v>
      </c>
      <c r="FF29" t="str">
        <f t="shared" si="42"/>
        <v>arts | Weiß | S | description_es</v>
      </c>
      <c r="FG29" t="str">
        <f t="shared" si="42"/>
        <v>arts | Weiß | S | bullet1_es</v>
      </c>
      <c r="FH29" t="str">
        <f t="shared" si="42"/>
        <v>arts | Weiß | S | bullet2_es</v>
      </c>
      <c r="FI29" t="str">
        <f t="shared" si="42"/>
        <v>arts | Weiß | S | bullet3_es</v>
      </c>
      <c r="FJ29" t="str">
        <f t="shared" si="42"/>
        <v>arts | Weiß | S | bullet4_es</v>
      </c>
      <c r="FK29" t="str">
        <f t="shared" si="42"/>
        <v>arts | Weiß | S | bullet5_es</v>
      </c>
      <c r="FL29" t="str">
        <f t="shared" si="42"/>
        <v>arts | Weiß | S | seo_title_es</v>
      </c>
      <c r="FM29" t="str">
        <f t="shared" si="42"/>
        <v>arts | Weiß | S | seo_description_es</v>
      </c>
      <c r="FN29" t="str">
        <f t="shared" si="42"/>
        <v>arts | Weiß | S | seo_keywords_es</v>
      </c>
      <c r="FO29">
        <f t="shared" si="13"/>
        <v>31.990000000000002</v>
      </c>
      <c r="FP29">
        <f t="shared" si="7"/>
        <v>34.99</v>
      </c>
      <c r="FQ29">
        <f t="shared" si="8"/>
        <v>29.990000000000002</v>
      </c>
    </row>
    <row r="30" spans="1:173" x14ac:dyDescent="0.35">
      <c r="A30" t="s">
        <v>372</v>
      </c>
      <c r="B30" t="str">
        <f t="shared" si="36"/>
        <v>eco-parent2-160526-Weiß-M</v>
      </c>
      <c r="C30" t="s">
        <v>418</v>
      </c>
      <c r="D30" t="s">
        <v>354</v>
      </c>
      <c r="E30">
        <f t="shared" si="37"/>
        <v>2234567896</v>
      </c>
      <c r="F30">
        <f t="shared" si="43"/>
        <v>60</v>
      </c>
      <c r="G30" t="s">
        <v>357</v>
      </c>
      <c r="H30" t="s">
        <v>417</v>
      </c>
      <c r="I30" t="s">
        <v>404</v>
      </c>
      <c r="J30" t="s">
        <v>360</v>
      </c>
      <c r="K30" t="s">
        <v>423</v>
      </c>
      <c r="L30" t="s">
        <v>425</v>
      </c>
      <c r="M30" t="str">
        <f t="shared" si="2"/>
        <v>Tal2</v>
      </c>
      <c r="N30">
        <f t="shared" si="38"/>
        <v>207</v>
      </c>
      <c r="O30">
        <f t="shared" si="10"/>
        <v>24</v>
      </c>
      <c r="P30">
        <f t="shared" ref="P30:Q30" si="46">O30+5</f>
        <v>29</v>
      </c>
      <c r="Q30">
        <f t="shared" si="46"/>
        <v>34</v>
      </c>
      <c r="R30" s="18" t="s">
        <v>436</v>
      </c>
      <c r="S30" s="18" t="s">
        <v>437</v>
      </c>
      <c r="W30" s="18" t="s">
        <v>450</v>
      </c>
      <c r="Y30" t="s">
        <v>414</v>
      </c>
      <c r="AA30" t="s">
        <v>381</v>
      </c>
      <c r="AJ30" t="s">
        <v>364</v>
      </c>
      <c r="AK30">
        <f t="shared" si="40"/>
        <v>217</v>
      </c>
      <c r="AL30">
        <v>1000</v>
      </c>
      <c r="AM30">
        <f t="shared" si="35"/>
        <v>2234573</v>
      </c>
      <c r="AN30">
        <f t="shared" si="35"/>
        <v>22351</v>
      </c>
      <c r="AO30" s="18" t="s">
        <v>454</v>
      </c>
      <c r="AP30" t="s">
        <v>455</v>
      </c>
      <c r="AQ30" s="18" t="s">
        <v>457</v>
      </c>
      <c r="AR30" t="s">
        <v>456</v>
      </c>
      <c r="AY30" t="s">
        <v>458</v>
      </c>
      <c r="AZ30" t="s">
        <v>529</v>
      </c>
      <c r="BA30" t="s">
        <v>613</v>
      </c>
      <c r="BB30" t="s">
        <v>530</v>
      </c>
      <c r="BC30" t="s">
        <v>459</v>
      </c>
      <c r="BD30" t="s">
        <v>531</v>
      </c>
      <c r="DG30" t="str">
        <f t="shared" si="5"/>
        <v>arts | Weiß | M | title_de</v>
      </c>
      <c r="DH30" t="str">
        <f t="shared" si="5"/>
        <v>arts | Weiß | M | description_de</v>
      </c>
      <c r="DI30" t="str">
        <f t="shared" si="5"/>
        <v>arts | Weiß | M | bullet1_de</v>
      </c>
      <c r="DJ30" t="str">
        <f t="shared" si="5"/>
        <v>arts | Weiß | M | bullet2_de</v>
      </c>
      <c r="DK30" t="str">
        <f t="shared" si="5"/>
        <v>arts | Weiß | M | bullet3_de</v>
      </c>
      <c r="DL30" t="str">
        <f t="shared" si="20"/>
        <v>arts | Weiß | M | bullet4_de</v>
      </c>
      <c r="DM30" t="str">
        <f t="shared" si="6"/>
        <v>arts | Weiß | M | bullet5_de</v>
      </c>
      <c r="DN30" t="str">
        <f t="shared" si="6"/>
        <v>arts | Weiß | M | seo_title_de</v>
      </c>
      <c r="DO30" t="str">
        <f t="shared" si="6"/>
        <v>arts | Weiß | M | seo_description_de</v>
      </c>
      <c r="DP30" t="str">
        <f t="shared" si="42"/>
        <v>arts | Weiß | M | seo_keywords_de</v>
      </c>
      <c r="DQ30" t="str">
        <f t="shared" si="42"/>
        <v>arts | Weiß | M | title_en</v>
      </c>
      <c r="DR30" t="str">
        <f t="shared" si="42"/>
        <v>arts | Weiß | M | description_en</v>
      </c>
      <c r="DS30" t="str">
        <f t="shared" si="42"/>
        <v>arts | Weiß | M | bullet1_en</v>
      </c>
      <c r="DT30" t="str">
        <f t="shared" si="42"/>
        <v>arts | Weiß | M | bullet2_en</v>
      </c>
      <c r="DU30" t="str">
        <f t="shared" si="42"/>
        <v>arts | Weiß | M | bullet3_en</v>
      </c>
      <c r="DV30" t="str">
        <f t="shared" si="42"/>
        <v>arts | Weiß | M | bullet4_en</v>
      </c>
      <c r="DW30" t="str">
        <f t="shared" si="42"/>
        <v>arts | Weiß | M | bullet5_en</v>
      </c>
      <c r="DX30" t="str">
        <f t="shared" si="42"/>
        <v>arts | Weiß | M | seo_title_en</v>
      </c>
      <c r="DY30" t="str">
        <f t="shared" si="42"/>
        <v>arts | Weiß | M | seo_description_en</v>
      </c>
      <c r="DZ30" t="str">
        <f t="shared" si="42"/>
        <v>arts | Weiß | M | seo_keywords_en</v>
      </c>
      <c r="EA30" t="str">
        <f t="shared" si="42"/>
        <v>arts | Weiß | M | title_tr</v>
      </c>
      <c r="EB30" t="str">
        <f t="shared" si="42"/>
        <v>arts | Weiß | M | description_tr</v>
      </c>
      <c r="EC30" t="str">
        <f t="shared" si="42"/>
        <v>arts | Weiß | M | bullet1_tr</v>
      </c>
      <c r="ED30" t="str">
        <f t="shared" si="42"/>
        <v>arts | Weiß | M | bullet2_tr</v>
      </c>
      <c r="EE30" t="str">
        <f t="shared" si="42"/>
        <v>arts | Weiß | M | bullet3_tr</v>
      </c>
      <c r="EF30" t="str">
        <f t="shared" si="42"/>
        <v>arts | Weiß | M | bullet4_tr</v>
      </c>
      <c r="EG30" t="str">
        <f t="shared" si="42"/>
        <v>arts | Weiß | M | bullet5_tr</v>
      </c>
      <c r="EH30" t="str">
        <f t="shared" si="42"/>
        <v>arts | Weiß | M | seo_title_tr</v>
      </c>
      <c r="EI30" t="str">
        <f t="shared" si="42"/>
        <v>arts | Weiß | M | seo_description_tr</v>
      </c>
      <c r="EJ30" t="str">
        <f t="shared" si="42"/>
        <v>arts | Weiß | M | seo_keywords_tr</v>
      </c>
      <c r="EK30" t="str">
        <f t="shared" si="42"/>
        <v>arts | Weiß | M | title_fr</v>
      </c>
      <c r="EL30" t="str">
        <f t="shared" si="42"/>
        <v>arts | Weiß | M | description_fr</v>
      </c>
      <c r="EM30" t="str">
        <f t="shared" si="42"/>
        <v>arts | Weiß | M | bullet1_fr</v>
      </c>
      <c r="EN30" t="str">
        <f t="shared" si="42"/>
        <v>arts | Weiß | M | bullet2_fr</v>
      </c>
      <c r="EO30" t="str">
        <f t="shared" si="42"/>
        <v>arts | Weiß | M | bullet3_fr</v>
      </c>
      <c r="EP30" t="str">
        <f t="shared" si="42"/>
        <v>arts | Weiß | M | bullet4_fr</v>
      </c>
      <c r="EQ30" t="str">
        <f t="shared" si="42"/>
        <v>arts | Weiß | M | bullet5_fr</v>
      </c>
      <c r="ER30" t="str">
        <f t="shared" si="42"/>
        <v>arts | Weiß | M | seo_title_fr</v>
      </c>
      <c r="ES30" t="str">
        <f t="shared" si="42"/>
        <v>arts | Weiß | M | seo_description_fr</v>
      </c>
      <c r="ET30" t="str">
        <f t="shared" si="42"/>
        <v>arts | Weiß | M | seo_keywords_fr</v>
      </c>
      <c r="EU30" t="str">
        <f t="shared" si="42"/>
        <v>arts | Weiß | M | title_it</v>
      </c>
      <c r="EV30" t="str">
        <f t="shared" si="42"/>
        <v>arts | Weiß | M | description_it</v>
      </c>
      <c r="EW30" t="str">
        <f t="shared" si="42"/>
        <v>arts | Weiß | M | bullet1_it</v>
      </c>
      <c r="EX30" t="str">
        <f t="shared" si="42"/>
        <v>arts | Weiß | M | bullet2_it</v>
      </c>
      <c r="EY30" t="str">
        <f t="shared" si="42"/>
        <v>arts | Weiß | M | bullet3_it</v>
      </c>
      <c r="EZ30" t="str">
        <f t="shared" si="42"/>
        <v>arts | Weiß | M | bullet4_it</v>
      </c>
      <c r="FA30" t="str">
        <f t="shared" si="42"/>
        <v>arts | Weiß | M | bullet5_it</v>
      </c>
      <c r="FB30" t="str">
        <f t="shared" si="42"/>
        <v>arts | Weiß | M | seo_title_it</v>
      </c>
      <c r="FC30" t="str">
        <f t="shared" si="42"/>
        <v>arts | Weiß | M | seo_description_it</v>
      </c>
      <c r="FD30" t="str">
        <f t="shared" si="42"/>
        <v>arts | Weiß | M | seo_keywords_it</v>
      </c>
      <c r="FE30" t="str">
        <f t="shared" si="42"/>
        <v>arts | Weiß | M | title_es</v>
      </c>
      <c r="FF30" t="str">
        <f t="shared" si="42"/>
        <v>arts | Weiß | M | description_es</v>
      </c>
      <c r="FG30" t="str">
        <f t="shared" si="42"/>
        <v>arts | Weiß | M | bullet1_es</v>
      </c>
      <c r="FH30" t="str">
        <f t="shared" si="42"/>
        <v>arts | Weiß | M | bullet2_es</v>
      </c>
      <c r="FI30" t="str">
        <f t="shared" si="42"/>
        <v>arts | Weiß | M | bullet3_es</v>
      </c>
      <c r="FJ30" t="str">
        <f t="shared" si="42"/>
        <v>arts | Weiß | M | bullet4_es</v>
      </c>
      <c r="FK30" t="str">
        <f t="shared" si="42"/>
        <v>arts | Weiß | M | bullet5_es</v>
      </c>
      <c r="FL30" t="str">
        <f t="shared" si="42"/>
        <v>arts | Weiß | M | seo_title_es</v>
      </c>
      <c r="FM30" t="str">
        <f t="shared" si="42"/>
        <v>arts | Weiß | M | seo_description_es</v>
      </c>
      <c r="FN30" t="str">
        <f t="shared" si="42"/>
        <v>arts | Weiß | M | seo_keywords_es</v>
      </c>
      <c r="FO30">
        <f t="shared" si="13"/>
        <v>32.99</v>
      </c>
      <c r="FP30">
        <f t="shared" si="7"/>
        <v>35.99</v>
      </c>
      <c r="FQ30">
        <f t="shared" si="8"/>
        <v>30.990000000000002</v>
      </c>
    </row>
    <row r="31" spans="1:173" x14ac:dyDescent="0.35">
      <c r="A31" t="s">
        <v>372</v>
      </c>
      <c r="B31" t="str">
        <f t="shared" si="36"/>
        <v>eco-parent2-160526-Weiß-L</v>
      </c>
      <c r="C31" t="s">
        <v>418</v>
      </c>
      <c r="D31" t="s">
        <v>354</v>
      </c>
      <c r="E31">
        <f t="shared" si="37"/>
        <v>2234567897</v>
      </c>
      <c r="F31">
        <f t="shared" si="43"/>
        <v>70</v>
      </c>
      <c r="G31" t="s">
        <v>357</v>
      </c>
      <c r="H31" t="s">
        <v>417</v>
      </c>
      <c r="I31" t="s">
        <v>404</v>
      </c>
      <c r="J31" t="s">
        <v>360</v>
      </c>
      <c r="K31" t="s">
        <v>423</v>
      </c>
      <c r="L31" t="s">
        <v>425</v>
      </c>
      <c r="M31" t="str">
        <f t="shared" si="2"/>
        <v>Tal2</v>
      </c>
      <c r="N31">
        <f t="shared" si="38"/>
        <v>208</v>
      </c>
      <c r="O31">
        <f t="shared" si="10"/>
        <v>25</v>
      </c>
      <c r="P31">
        <f t="shared" ref="P31:Q31" si="47">O31+5</f>
        <v>30</v>
      </c>
      <c r="Q31">
        <f t="shared" si="47"/>
        <v>35</v>
      </c>
      <c r="R31" s="18" t="s">
        <v>436</v>
      </c>
      <c r="S31" s="18" t="s">
        <v>437</v>
      </c>
      <c r="W31" s="18" t="s">
        <v>450</v>
      </c>
      <c r="Y31" t="s">
        <v>414</v>
      </c>
      <c r="AA31" t="s">
        <v>406</v>
      </c>
      <c r="AJ31" t="s">
        <v>364</v>
      </c>
      <c r="AK31">
        <f t="shared" si="40"/>
        <v>218</v>
      </c>
      <c r="AL31">
        <v>1000</v>
      </c>
      <c r="AM31">
        <f t="shared" si="35"/>
        <v>2234574</v>
      </c>
      <c r="AN31">
        <f t="shared" si="35"/>
        <v>22352</v>
      </c>
      <c r="AO31" s="18" t="s">
        <v>454</v>
      </c>
      <c r="AP31" t="s">
        <v>455</v>
      </c>
      <c r="AQ31" s="18" t="s">
        <v>457</v>
      </c>
      <c r="AR31" t="s">
        <v>456</v>
      </c>
      <c r="AY31" t="s">
        <v>458</v>
      </c>
      <c r="AZ31" t="s">
        <v>532</v>
      </c>
      <c r="BA31" t="s">
        <v>613</v>
      </c>
      <c r="BB31" t="s">
        <v>533</v>
      </c>
      <c r="BC31" t="s">
        <v>459</v>
      </c>
      <c r="BD31" t="s">
        <v>534</v>
      </c>
      <c r="DG31" t="str">
        <f t="shared" si="5"/>
        <v>arts | Weiß | L | title_de</v>
      </c>
      <c r="DH31" t="str">
        <f t="shared" si="5"/>
        <v>arts | Weiß | L | description_de</v>
      </c>
      <c r="DI31" t="str">
        <f t="shared" si="5"/>
        <v>arts | Weiß | L | bullet1_de</v>
      </c>
      <c r="DJ31" t="str">
        <f t="shared" si="5"/>
        <v>arts | Weiß | L | bullet2_de</v>
      </c>
      <c r="DK31" t="str">
        <f t="shared" si="5"/>
        <v>arts | Weiß | L | bullet3_de</v>
      </c>
      <c r="DL31" t="str">
        <f t="shared" si="20"/>
        <v>arts | Weiß | L | bullet4_de</v>
      </c>
      <c r="DM31" t="str">
        <f t="shared" si="6"/>
        <v>arts | Weiß | L | bullet5_de</v>
      </c>
      <c r="DN31" t="str">
        <f t="shared" si="6"/>
        <v>arts | Weiß | L | seo_title_de</v>
      </c>
      <c r="DO31" t="str">
        <f t="shared" si="6"/>
        <v>arts | Weiß | L | seo_description_de</v>
      </c>
      <c r="DP31" t="str">
        <f t="shared" si="42"/>
        <v>arts | Weiß | L | seo_keywords_de</v>
      </c>
      <c r="DQ31" t="str">
        <f t="shared" si="42"/>
        <v>arts | Weiß | L | title_en</v>
      </c>
      <c r="DR31" t="str">
        <f t="shared" si="42"/>
        <v>arts | Weiß | L | description_en</v>
      </c>
      <c r="DS31" t="str">
        <f t="shared" si="42"/>
        <v>arts | Weiß | L | bullet1_en</v>
      </c>
      <c r="DT31" t="str">
        <f t="shared" si="42"/>
        <v>arts | Weiß | L | bullet2_en</v>
      </c>
      <c r="DU31" t="str">
        <f t="shared" si="42"/>
        <v>arts | Weiß | L | bullet3_en</v>
      </c>
      <c r="DV31" t="str">
        <f t="shared" si="42"/>
        <v>arts | Weiß | L | bullet4_en</v>
      </c>
      <c r="DW31" t="str">
        <f t="shared" si="42"/>
        <v>arts | Weiß | L | bullet5_en</v>
      </c>
      <c r="DX31" t="str">
        <f t="shared" si="42"/>
        <v>arts | Weiß | L | seo_title_en</v>
      </c>
      <c r="DY31" t="str">
        <f t="shared" si="42"/>
        <v>arts | Weiß | L | seo_description_en</v>
      </c>
      <c r="DZ31" t="str">
        <f t="shared" si="42"/>
        <v>arts | Weiß | L | seo_keywords_en</v>
      </c>
      <c r="EA31" t="str">
        <f t="shared" si="42"/>
        <v>arts | Weiß | L | title_tr</v>
      </c>
      <c r="EB31" t="str">
        <f t="shared" si="42"/>
        <v>arts | Weiß | L | description_tr</v>
      </c>
      <c r="EC31" t="str">
        <f t="shared" si="42"/>
        <v>arts | Weiß | L | bullet1_tr</v>
      </c>
      <c r="ED31" t="str">
        <f t="shared" si="42"/>
        <v>arts | Weiß | L | bullet2_tr</v>
      </c>
      <c r="EE31" t="str">
        <f t="shared" si="42"/>
        <v>arts | Weiß | L | bullet3_tr</v>
      </c>
      <c r="EF31" t="str">
        <f t="shared" si="42"/>
        <v>arts | Weiß | L | bullet4_tr</v>
      </c>
      <c r="EG31" t="str">
        <f t="shared" si="42"/>
        <v>arts | Weiß | L | bullet5_tr</v>
      </c>
      <c r="EH31" t="str">
        <f t="shared" si="42"/>
        <v>arts | Weiß | L | seo_title_tr</v>
      </c>
      <c r="EI31" t="str">
        <f t="shared" si="42"/>
        <v>arts | Weiß | L | seo_description_tr</v>
      </c>
      <c r="EJ31" t="str">
        <f t="shared" si="42"/>
        <v>arts | Weiß | L | seo_keywords_tr</v>
      </c>
      <c r="EK31" t="str">
        <f t="shared" si="42"/>
        <v>arts | Weiß | L | title_fr</v>
      </c>
      <c r="EL31" t="str">
        <f t="shared" si="42"/>
        <v>arts | Weiß | L | description_fr</v>
      </c>
      <c r="EM31" t="str">
        <f t="shared" si="42"/>
        <v>arts | Weiß | L | bullet1_fr</v>
      </c>
      <c r="EN31" t="str">
        <f t="shared" si="42"/>
        <v>arts | Weiß | L | bullet2_fr</v>
      </c>
      <c r="EO31" t="str">
        <f t="shared" si="42"/>
        <v>arts | Weiß | L | bullet3_fr</v>
      </c>
      <c r="EP31" t="str">
        <f t="shared" si="42"/>
        <v>arts | Weiß | L | bullet4_fr</v>
      </c>
      <c r="EQ31" t="str">
        <f t="shared" si="42"/>
        <v>arts | Weiß | L | bullet5_fr</v>
      </c>
      <c r="ER31" t="str">
        <f t="shared" si="42"/>
        <v>arts | Weiß | L | seo_title_fr</v>
      </c>
      <c r="ES31" t="str">
        <f t="shared" si="42"/>
        <v>arts | Weiß | L | seo_description_fr</v>
      </c>
      <c r="ET31" t="str">
        <f t="shared" si="42"/>
        <v>arts | Weiß | L | seo_keywords_fr</v>
      </c>
      <c r="EU31" t="str">
        <f t="shared" si="42"/>
        <v>arts | Weiß | L | title_it</v>
      </c>
      <c r="EV31" t="str">
        <f t="shared" si="42"/>
        <v>arts | Weiß | L | description_it</v>
      </c>
      <c r="EW31" t="str">
        <f t="shared" si="42"/>
        <v>arts | Weiß | L | bullet1_it</v>
      </c>
      <c r="EX31" t="str">
        <f t="shared" si="42"/>
        <v>arts | Weiß | L | bullet2_it</v>
      </c>
      <c r="EY31" t="str">
        <f t="shared" si="42"/>
        <v>arts | Weiß | L | bullet3_it</v>
      </c>
      <c r="EZ31" t="str">
        <f t="shared" si="42"/>
        <v>arts | Weiß | L | bullet4_it</v>
      </c>
      <c r="FA31" t="str">
        <f t="shared" si="42"/>
        <v>arts | Weiß | L | bullet5_it</v>
      </c>
      <c r="FB31" t="str">
        <f t="shared" si="42"/>
        <v>arts | Weiß | L | seo_title_it</v>
      </c>
      <c r="FC31" t="str">
        <f t="shared" si="42"/>
        <v>arts | Weiß | L | seo_description_it</v>
      </c>
      <c r="FD31" t="str">
        <f t="shared" si="42"/>
        <v>arts | Weiß | L | seo_keywords_it</v>
      </c>
      <c r="FE31" t="str">
        <f t="shared" si="42"/>
        <v>arts | Weiß | L | title_es</v>
      </c>
      <c r="FF31" t="str">
        <f t="shared" si="42"/>
        <v>arts | Weiß | L | description_es</v>
      </c>
      <c r="FG31" t="str">
        <f t="shared" si="42"/>
        <v>arts | Weiß | L | bullet1_es</v>
      </c>
      <c r="FH31" t="str">
        <f t="shared" si="42"/>
        <v>arts | Weiß | L | bullet2_es</v>
      </c>
      <c r="FI31" t="str">
        <f t="shared" si="42"/>
        <v>arts | Weiß | L | bullet3_es</v>
      </c>
      <c r="FJ31" t="str">
        <f t="shared" si="42"/>
        <v>arts | Weiß | L | bullet4_es</v>
      </c>
      <c r="FK31" t="str">
        <f t="shared" si="42"/>
        <v>arts | Weiß | L | bullet5_es</v>
      </c>
      <c r="FL31" t="str">
        <f t="shared" si="42"/>
        <v>arts | Weiß | L | seo_title_es</v>
      </c>
      <c r="FM31" t="str">
        <f t="shared" si="42"/>
        <v>arts | Weiß | L | seo_description_es</v>
      </c>
      <c r="FN31" t="str">
        <f t="shared" si="42"/>
        <v>arts | Weiß | L | seo_keywords_es</v>
      </c>
      <c r="FO31">
        <f t="shared" si="13"/>
        <v>33.99</v>
      </c>
      <c r="FP31">
        <f t="shared" si="7"/>
        <v>36.99</v>
      </c>
      <c r="FQ31">
        <f t="shared" si="8"/>
        <v>31.990000000000002</v>
      </c>
    </row>
    <row r="32" spans="1:173" x14ac:dyDescent="0.35">
      <c r="A32" t="s">
        <v>372</v>
      </c>
      <c r="B32" t="str">
        <f t="shared" si="36"/>
        <v>eco-parent2-160526-Weiß-XL</v>
      </c>
      <c r="C32" t="s">
        <v>418</v>
      </c>
      <c r="D32" t="s">
        <v>354</v>
      </c>
      <c r="E32">
        <f t="shared" si="37"/>
        <v>2234567898</v>
      </c>
      <c r="F32">
        <f t="shared" si="43"/>
        <v>80</v>
      </c>
      <c r="G32" t="s">
        <v>357</v>
      </c>
      <c r="H32" t="s">
        <v>417</v>
      </c>
      <c r="I32" t="s">
        <v>404</v>
      </c>
      <c r="J32" t="s">
        <v>360</v>
      </c>
      <c r="K32" t="s">
        <v>423</v>
      </c>
      <c r="L32" t="s">
        <v>425</v>
      </c>
      <c r="M32" t="str">
        <f t="shared" si="2"/>
        <v>Tal2</v>
      </c>
      <c r="N32">
        <f t="shared" si="38"/>
        <v>209</v>
      </c>
      <c r="O32">
        <f t="shared" si="10"/>
        <v>26</v>
      </c>
      <c r="P32">
        <f t="shared" ref="P32:Q32" si="48">O32+5</f>
        <v>31</v>
      </c>
      <c r="Q32">
        <f t="shared" si="48"/>
        <v>36</v>
      </c>
      <c r="R32" s="18" t="s">
        <v>436</v>
      </c>
      <c r="S32" s="18" t="s">
        <v>437</v>
      </c>
      <c r="W32" s="18" t="s">
        <v>450</v>
      </c>
      <c r="Y32" t="s">
        <v>414</v>
      </c>
      <c r="AA32" t="s">
        <v>412</v>
      </c>
      <c r="AJ32" t="s">
        <v>364</v>
      </c>
      <c r="AK32">
        <f t="shared" si="40"/>
        <v>219</v>
      </c>
      <c r="AL32">
        <v>1000</v>
      </c>
      <c r="AM32">
        <f t="shared" si="35"/>
        <v>2234575</v>
      </c>
      <c r="AN32">
        <f t="shared" si="35"/>
        <v>22353</v>
      </c>
      <c r="AO32" s="18" t="s">
        <v>454</v>
      </c>
      <c r="AP32" t="s">
        <v>455</v>
      </c>
      <c r="AQ32" s="18" t="s">
        <v>457</v>
      </c>
      <c r="AR32" t="s">
        <v>456</v>
      </c>
      <c r="AY32" t="s">
        <v>458</v>
      </c>
      <c r="AZ32" t="s">
        <v>535</v>
      </c>
      <c r="BA32" t="s">
        <v>613</v>
      </c>
      <c r="BB32" t="s">
        <v>536</v>
      </c>
      <c r="BC32" t="s">
        <v>459</v>
      </c>
      <c r="BD32" t="s">
        <v>537</v>
      </c>
      <c r="DG32" t="str">
        <f t="shared" si="5"/>
        <v>arts | Weiß | XL | title_de</v>
      </c>
      <c r="DH32" t="str">
        <f t="shared" si="5"/>
        <v>arts | Weiß | XL | description_de</v>
      </c>
      <c r="DI32" t="str">
        <f t="shared" si="5"/>
        <v>arts | Weiß | XL | bullet1_de</v>
      </c>
      <c r="DJ32" t="str">
        <f t="shared" si="5"/>
        <v>arts | Weiß | XL | bullet2_de</v>
      </c>
      <c r="DK32" t="str">
        <f t="shared" si="5"/>
        <v>arts | Weiß | XL | bullet3_de</v>
      </c>
      <c r="DL32" t="str">
        <f t="shared" si="20"/>
        <v>arts | Weiß | XL | bullet4_de</v>
      </c>
      <c r="DM32" t="str">
        <f t="shared" si="6"/>
        <v>arts | Weiß | XL | bullet5_de</v>
      </c>
      <c r="DN32" t="str">
        <f t="shared" si="6"/>
        <v>arts | Weiß | XL | seo_title_de</v>
      </c>
      <c r="DO32" t="str">
        <f t="shared" si="6"/>
        <v>arts | Weiß | XL | seo_description_de</v>
      </c>
      <c r="DP32" t="str">
        <f t="shared" si="42"/>
        <v>arts | Weiß | XL | seo_keywords_de</v>
      </c>
      <c r="DQ32" t="str">
        <f t="shared" si="42"/>
        <v>arts | Weiß | XL | title_en</v>
      </c>
      <c r="DR32" t="str">
        <f t="shared" si="42"/>
        <v>arts | Weiß | XL | description_en</v>
      </c>
      <c r="DS32" t="str">
        <f t="shared" si="42"/>
        <v>arts | Weiß | XL | bullet1_en</v>
      </c>
      <c r="DT32" t="str">
        <f t="shared" si="42"/>
        <v>arts | Weiß | XL | bullet2_en</v>
      </c>
      <c r="DU32" t="str">
        <f t="shared" si="42"/>
        <v>arts | Weiß | XL | bullet3_en</v>
      </c>
      <c r="DV32" t="str">
        <f t="shared" si="42"/>
        <v>arts | Weiß | XL | bullet4_en</v>
      </c>
      <c r="DW32" t="str">
        <f t="shared" si="42"/>
        <v>arts | Weiß | XL | bullet5_en</v>
      </c>
      <c r="DX32" t="str">
        <f t="shared" si="42"/>
        <v>arts | Weiß | XL | seo_title_en</v>
      </c>
      <c r="DY32" t="str">
        <f t="shared" si="42"/>
        <v>arts | Weiß | XL | seo_description_en</v>
      </c>
      <c r="DZ32" t="str">
        <f t="shared" si="42"/>
        <v>arts | Weiß | XL | seo_keywords_en</v>
      </c>
      <c r="EA32" t="str">
        <f t="shared" si="42"/>
        <v>arts | Weiß | XL | title_tr</v>
      </c>
      <c r="EB32" t="str">
        <f t="shared" si="42"/>
        <v>arts | Weiß | XL | description_tr</v>
      </c>
      <c r="EC32" t="str">
        <f t="shared" ref="DP32:FN37" si="49">MID($I32,1,FIND("-",$I32,1)-1)&amp;" | "&amp;$Y32&amp;" | "&amp;$AA32&amp;" | "&amp;EC$2</f>
        <v>arts | Weiß | XL | bullet1_tr</v>
      </c>
      <c r="ED32" t="str">
        <f t="shared" si="49"/>
        <v>arts | Weiß | XL | bullet2_tr</v>
      </c>
      <c r="EE32" t="str">
        <f t="shared" si="49"/>
        <v>arts | Weiß | XL | bullet3_tr</v>
      </c>
      <c r="EF32" t="str">
        <f t="shared" si="49"/>
        <v>arts | Weiß | XL | bullet4_tr</v>
      </c>
      <c r="EG32" t="str">
        <f t="shared" si="49"/>
        <v>arts | Weiß | XL | bullet5_tr</v>
      </c>
      <c r="EH32" t="str">
        <f t="shared" si="49"/>
        <v>arts | Weiß | XL | seo_title_tr</v>
      </c>
      <c r="EI32" t="str">
        <f t="shared" si="49"/>
        <v>arts | Weiß | XL | seo_description_tr</v>
      </c>
      <c r="EJ32" t="str">
        <f t="shared" si="49"/>
        <v>arts | Weiß | XL | seo_keywords_tr</v>
      </c>
      <c r="EK32" t="str">
        <f t="shared" si="49"/>
        <v>arts | Weiß | XL | title_fr</v>
      </c>
      <c r="EL32" t="str">
        <f t="shared" si="49"/>
        <v>arts | Weiß | XL | description_fr</v>
      </c>
      <c r="EM32" t="str">
        <f t="shared" si="49"/>
        <v>arts | Weiß | XL | bullet1_fr</v>
      </c>
      <c r="EN32" t="str">
        <f t="shared" si="49"/>
        <v>arts | Weiß | XL | bullet2_fr</v>
      </c>
      <c r="EO32" t="str">
        <f t="shared" si="49"/>
        <v>arts | Weiß | XL | bullet3_fr</v>
      </c>
      <c r="EP32" t="str">
        <f t="shared" si="49"/>
        <v>arts | Weiß | XL | bullet4_fr</v>
      </c>
      <c r="EQ32" t="str">
        <f t="shared" si="49"/>
        <v>arts | Weiß | XL | bullet5_fr</v>
      </c>
      <c r="ER32" t="str">
        <f t="shared" si="49"/>
        <v>arts | Weiß | XL | seo_title_fr</v>
      </c>
      <c r="ES32" t="str">
        <f t="shared" si="49"/>
        <v>arts | Weiß | XL | seo_description_fr</v>
      </c>
      <c r="ET32" t="str">
        <f t="shared" si="49"/>
        <v>arts | Weiß | XL | seo_keywords_fr</v>
      </c>
      <c r="EU32" t="str">
        <f t="shared" si="49"/>
        <v>arts | Weiß | XL | title_it</v>
      </c>
      <c r="EV32" t="str">
        <f t="shared" si="49"/>
        <v>arts | Weiß | XL | description_it</v>
      </c>
      <c r="EW32" t="str">
        <f t="shared" si="49"/>
        <v>arts | Weiß | XL | bullet1_it</v>
      </c>
      <c r="EX32" t="str">
        <f t="shared" si="49"/>
        <v>arts | Weiß | XL | bullet2_it</v>
      </c>
      <c r="EY32" t="str">
        <f t="shared" si="49"/>
        <v>arts | Weiß | XL | bullet3_it</v>
      </c>
      <c r="EZ32" t="str">
        <f t="shared" si="49"/>
        <v>arts | Weiß | XL | bullet4_it</v>
      </c>
      <c r="FA32" t="str">
        <f t="shared" si="49"/>
        <v>arts | Weiß | XL | bullet5_it</v>
      </c>
      <c r="FB32" t="str">
        <f t="shared" si="49"/>
        <v>arts | Weiß | XL | seo_title_it</v>
      </c>
      <c r="FC32" t="str">
        <f t="shared" si="49"/>
        <v>arts | Weiß | XL | seo_description_it</v>
      </c>
      <c r="FD32" t="str">
        <f t="shared" si="49"/>
        <v>arts | Weiß | XL | seo_keywords_it</v>
      </c>
      <c r="FE32" t="str">
        <f t="shared" si="49"/>
        <v>arts | Weiß | XL | title_es</v>
      </c>
      <c r="FF32" t="str">
        <f t="shared" si="49"/>
        <v>arts | Weiß | XL | description_es</v>
      </c>
      <c r="FG32" t="str">
        <f t="shared" si="49"/>
        <v>arts | Weiß | XL | bullet1_es</v>
      </c>
      <c r="FH32" t="str">
        <f t="shared" si="49"/>
        <v>arts | Weiß | XL | bullet2_es</v>
      </c>
      <c r="FI32" t="str">
        <f t="shared" si="49"/>
        <v>arts | Weiß | XL | bullet3_es</v>
      </c>
      <c r="FJ32" t="str">
        <f t="shared" si="49"/>
        <v>arts | Weiß | XL | bullet4_es</v>
      </c>
      <c r="FK32" t="str">
        <f t="shared" si="49"/>
        <v>arts | Weiß | XL | bullet5_es</v>
      </c>
      <c r="FL32" t="str">
        <f t="shared" si="49"/>
        <v>arts | Weiß | XL | seo_title_es</v>
      </c>
      <c r="FM32" t="str">
        <f t="shared" si="49"/>
        <v>arts | Weiß | XL | seo_description_es</v>
      </c>
      <c r="FN32" t="str">
        <f t="shared" si="49"/>
        <v>arts | Weiß | XL | seo_keywords_es</v>
      </c>
      <c r="FO32">
        <f t="shared" si="13"/>
        <v>34.99</v>
      </c>
      <c r="FP32">
        <f t="shared" si="7"/>
        <v>37.99</v>
      </c>
      <c r="FQ32">
        <f t="shared" si="8"/>
        <v>32.99</v>
      </c>
    </row>
    <row r="33" spans="1:173" x14ac:dyDescent="0.35">
      <c r="A33" t="s">
        <v>372</v>
      </c>
      <c r="B33" t="str">
        <f t="shared" si="36"/>
        <v>eco-parent2-160526-Blau-S</v>
      </c>
      <c r="C33" t="s">
        <v>418</v>
      </c>
      <c r="D33" t="s">
        <v>354</v>
      </c>
      <c r="E33">
        <f t="shared" si="37"/>
        <v>2234567899</v>
      </c>
      <c r="F33">
        <f t="shared" si="43"/>
        <v>90</v>
      </c>
      <c r="G33" t="s">
        <v>357</v>
      </c>
      <c r="H33" t="s">
        <v>417</v>
      </c>
      <c r="I33" t="s">
        <v>404</v>
      </c>
      <c r="J33" t="s">
        <v>360</v>
      </c>
      <c r="K33" t="s">
        <v>423</v>
      </c>
      <c r="L33" t="s">
        <v>425</v>
      </c>
      <c r="M33" t="str">
        <f t="shared" si="2"/>
        <v>Tal2</v>
      </c>
      <c r="N33">
        <f t="shared" si="38"/>
        <v>210</v>
      </c>
      <c r="O33">
        <f t="shared" si="10"/>
        <v>27</v>
      </c>
      <c r="P33">
        <f t="shared" ref="P33:Q33" si="50">O33+5</f>
        <v>32</v>
      </c>
      <c r="Q33">
        <f t="shared" si="50"/>
        <v>37</v>
      </c>
      <c r="R33" s="18" t="s">
        <v>438</v>
      </c>
      <c r="S33" s="18" t="s">
        <v>439</v>
      </c>
      <c r="W33" s="18" t="s">
        <v>453</v>
      </c>
      <c r="Y33" t="s">
        <v>415</v>
      </c>
      <c r="AA33" t="s">
        <v>378</v>
      </c>
      <c r="AJ33" t="s">
        <v>364</v>
      </c>
      <c r="AK33">
        <f t="shared" si="40"/>
        <v>220</v>
      </c>
      <c r="AL33">
        <v>1000</v>
      </c>
      <c r="AM33">
        <f t="shared" si="35"/>
        <v>2234576</v>
      </c>
      <c r="AN33">
        <f t="shared" si="35"/>
        <v>22354</v>
      </c>
      <c r="AO33" s="18" t="s">
        <v>454</v>
      </c>
      <c r="AP33" t="s">
        <v>455</v>
      </c>
      <c r="AQ33" s="18" t="s">
        <v>457</v>
      </c>
      <c r="AR33" t="s">
        <v>456</v>
      </c>
      <c r="AY33" t="s">
        <v>458</v>
      </c>
      <c r="AZ33" t="s">
        <v>538</v>
      </c>
      <c r="BA33" t="s">
        <v>613</v>
      </c>
      <c r="BB33" t="s">
        <v>539</v>
      </c>
      <c r="BC33" t="s">
        <v>459</v>
      </c>
      <c r="BD33" t="s">
        <v>540</v>
      </c>
      <c r="DG33" t="str">
        <f t="shared" si="5"/>
        <v>arts | Blau | S | title_de</v>
      </c>
      <c r="DH33" t="str">
        <f t="shared" si="5"/>
        <v>arts | Blau | S | description_de</v>
      </c>
      <c r="DI33" t="str">
        <f t="shared" si="5"/>
        <v>arts | Blau | S | bullet1_de</v>
      </c>
      <c r="DJ33" t="str">
        <f t="shared" si="5"/>
        <v>arts | Blau | S | bullet2_de</v>
      </c>
      <c r="DK33" t="str">
        <f t="shared" si="5"/>
        <v>arts | Blau | S | bullet3_de</v>
      </c>
      <c r="DL33" t="str">
        <f t="shared" si="20"/>
        <v>arts | Blau | S | bullet4_de</v>
      </c>
      <c r="DM33" t="str">
        <f t="shared" si="6"/>
        <v>arts | Blau | S | bullet5_de</v>
      </c>
      <c r="DN33" t="str">
        <f t="shared" si="6"/>
        <v>arts | Blau | S | seo_title_de</v>
      </c>
      <c r="DO33" t="str">
        <f t="shared" si="6"/>
        <v>arts | Blau | S | seo_description_de</v>
      </c>
      <c r="DP33" t="str">
        <f t="shared" si="49"/>
        <v>arts | Blau | S | seo_keywords_de</v>
      </c>
      <c r="DQ33" t="str">
        <f t="shared" si="49"/>
        <v>arts | Blau | S | title_en</v>
      </c>
      <c r="DR33" t="str">
        <f t="shared" si="49"/>
        <v>arts | Blau | S | description_en</v>
      </c>
      <c r="DS33" t="str">
        <f t="shared" si="49"/>
        <v>arts | Blau | S | bullet1_en</v>
      </c>
      <c r="DT33" t="str">
        <f t="shared" si="49"/>
        <v>arts | Blau | S | bullet2_en</v>
      </c>
      <c r="DU33" t="str">
        <f t="shared" si="49"/>
        <v>arts | Blau | S | bullet3_en</v>
      </c>
      <c r="DV33" t="str">
        <f t="shared" si="49"/>
        <v>arts | Blau | S | bullet4_en</v>
      </c>
      <c r="DW33" t="str">
        <f t="shared" si="49"/>
        <v>arts | Blau | S | bullet5_en</v>
      </c>
      <c r="DX33" t="str">
        <f t="shared" si="49"/>
        <v>arts | Blau | S | seo_title_en</v>
      </c>
      <c r="DY33" t="str">
        <f t="shared" si="49"/>
        <v>arts | Blau | S | seo_description_en</v>
      </c>
      <c r="DZ33" t="str">
        <f t="shared" si="49"/>
        <v>arts | Blau | S | seo_keywords_en</v>
      </c>
      <c r="EA33" t="str">
        <f t="shared" si="49"/>
        <v>arts | Blau | S | title_tr</v>
      </c>
      <c r="EB33" t="str">
        <f t="shared" si="49"/>
        <v>arts | Blau | S | description_tr</v>
      </c>
      <c r="EC33" t="str">
        <f t="shared" si="49"/>
        <v>arts | Blau | S | bullet1_tr</v>
      </c>
      <c r="ED33" t="str">
        <f t="shared" si="49"/>
        <v>arts | Blau | S | bullet2_tr</v>
      </c>
      <c r="EE33" t="str">
        <f t="shared" si="49"/>
        <v>arts | Blau | S | bullet3_tr</v>
      </c>
      <c r="EF33" t="str">
        <f t="shared" si="49"/>
        <v>arts | Blau | S | bullet4_tr</v>
      </c>
      <c r="EG33" t="str">
        <f t="shared" si="49"/>
        <v>arts | Blau | S | bullet5_tr</v>
      </c>
      <c r="EH33" t="str">
        <f t="shared" si="49"/>
        <v>arts | Blau | S | seo_title_tr</v>
      </c>
      <c r="EI33" t="str">
        <f t="shared" si="49"/>
        <v>arts | Blau | S | seo_description_tr</v>
      </c>
      <c r="EJ33" t="str">
        <f t="shared" si="49"/>
        <v>arts | Blau | S | seo_keywords_tr</v>
      </c>
      <c r="EK33" t="str">
        <f t="shared" si="49"/>
        <v>arts | Blau | S | title_fr</v>
      </c>
      <c r="EL33" t="str">
        <f t="shared" si="49"/>
        <v>arts | Blau | S | description_fr</v>
      </c>
      <c r="EM33" t="str">
        <f t="shared" si="49"/>
        <v>arts | Blau | S | bullet1_fr</v>
      </c>
      <c r="EN33" t="str">
        <f t="shared" si="49"/>
        <v>arts | Blau | S | bullet2_fr</v>
      </c>
      <c r="EO33" t="str">
        <f t="shared" si="49"/>
        <v>arts | Blau | S | bullet3_fr</v>
      </c>
      <c r="EP33" t="str">
        <f t="shared" si="49"/>
        <v>arts | Blau | S | bullet4_fr</v>
      </c>
      <c r="EQ33" t="str">
        <f t="shared" si="49"/>
        <v>arts | Blau | S | bullet5_fr</v>
      </c>
      <c r="ER33" t="str">
        <f t="shared" si="49"/>
        <v>arts | Blau | S | seo_title_fr</v>
      </c>
      <c r="ES33" t="str">
        <f t="shared" si="49"/>
        <v>arts | Blau | S | seo_description_fr</v>
      </c>
      <c r="ET33" t="str">
        <f t="shared" si="49"/>
        <v>arts | Blau | S | seo_keywords_fr</v>
      </c>
      <c r="EU33" t="str">
        <f t="shared" si="49"/>
        <v>arts | Blau | S | title_it</v>
      </c>
      <c r="EV33" t="str">
        <f t="shared" si="49"/>
        <v>arts | Blau | S | description_it</v>
      </c>
      <c r="EW33" t="str">
        <f t="shared" si="49"/>
        <v>arts | Blau | S | bullet1_it</v>
      </c>
      <c r="EX33" t="str">
        <f t="shared" si="49"/>
        <v>arts | Blau | S | bullet2_it</v>
      </c>
      <c r="EY33" t="str">
        <f t="shared" si="49"/>
        <v>arts | Blau | S | bullet3_it</v>
      </c>
      <c r="EZ33" t="str">
        <f t="shared" si="49"/>
        <v>arts | Blau | S | bullet4_it</v>
      </c>
      <c r="FA33" t="str">
        <f t="shared" si="49"/>
        <v>arts | Blau | S | bullet5_it</v>
      </c>
      <c r="FB33" t="str">
        <f t="shared" si="49"/>
        <v>arts | Blau | S | seo_title_it</v>
      </c>
      <c r="FC33" t="str">
        <f t="shared" si="49"/>
        <v>arts | Blau | S | seo_description_it</v>
      </c>
      <c r="FD33" t="str">
        <f t="shared" si="49"/>
        <v>arts | Blau | S | seo_keywords_it</v>
      </c>
      <c r="FE33" t="str">
        <f t="shared" si="49"/>
        <v>arts | Blau | S | title_es</v>
      </c>
      <c r="FF33" t="str">
        <f t="shared" si="49"/>
        <v>arts | Blau | S | description_es</v>
      </c>
      <c r="FG33" t="str">
        <f t="shared" si="49"/>
        <v>arts | Blau | S | bullet1_es</v>
      </c>
      <c r="FH33" t="str">
        <f t="shared" si="49"/>
        <v>arts | Blau | S | bullet2_es</v>
      </c>
      <c r="FI33" t="str">
        <f t="shared" si="49"/>
        <v>arts | Blau | S | bullet3_es</v>
      </c>
      <c r="FJ33" t="str">
        <f t="shared" si="49"/>
        <v>arts | Blau | S | bullet4_es</v>
      </c>
      <c r="FK33" t="str">
        <f t="shared" si="49"/>
        <v>arts | Blau | S | bullet5_es</v>
      </c>
      <c r="FL33" t="str">
        <f t="shared" si="49"/>
        <v>arts | Blau | S | seo_title_es</v>
      </c>
      <c r="FM33" t="str">
        <f t="shared" si="49"/>
        <v>arts | Blau | S | seo_description_es</v>
      </c>
      <c r="FN33" t="str">
        <f t="shared" si="49"/>
        <v>arts | Blau | S | seo_keywords_es</v>
      </c>
      <c r="FO33">
        <f t="shared" si="13"/>
        <v>35.99</v>
      </c>
      <c r="FP33">
        <f t="shared" si="7"/>
        <v>38.99</v>
      </c>
      <c r="FQ33">
        <f t="shared" si="8"/>
        <v>33.99</v>
      </c>
    </row>
    <row r="34" spans="1:173" x14ac:dyDescent="0.35">
      <c r="A34" t="s">
        <v>372</v>
      </c>
      <c r="B34" t="str">
        <f t="shared" si="36"/>
        <v>eco-parent2-160526-Blau-M</v>
      </c>
      <c r="C34" t="s">
        <v>418</v>
      </c>
      <c r="D34" t="s">
        <v>354</v>
      </c>
      <c r="E34">
        <f t="shared" si="37"/>
        <v>2234567900</v>
      </c>
      <c r="F34">
        <f t="shared" si="43"/>
        <v>100</v>
      </c>
      <c r="G34" t="s">
        <v>357</v>
      </c>
      <c r="H34" t="s">
        <v>417</v>
      </c>
      <c r="I34" t="s">
        <v>404</v>
      </c>
      <c r="J34" t="s">
        <v>360</v>
      </c>
      <c r="K34" t="s">
        <v>423</v>
      </c>
      <c r="L34" t="s">
        <v>425</v>
      </c>
      <c r="M34" t="str">
        <f t="shared" si="2"/>
        <v>Tal2</v>
      </c>
      <c r="N34">
        <f t="shared" si="38"/>
        <v>211</v>
      </c>
      <c r="O34">
        <f t="shared" si="10"/>
        <v>28</v>
      </c>
      <c r="P34">
        <f t="shared" ref="P34:Q34" si="51">O34+5</f>
        <v>33</v>
      </c>
      <c r="Q34">
        <f t="shared" si="51"/>
        <v>38</v>
      </c>
      <c r="R34" s="18" t="s">
        <v>438</v>
      </c>
      <c r="S34" s="18" t="s">
        <v>439</v>
      </c>
      <c r="W34" s="18" t="s">
        <v>453</v>
      </c>
      <c r="Y34" t="s">
        <v>415</v>
      </c>
      <c r="AA34" t="s">
        <v>381</v>
      </c>
      <c r="AJ34" t="s">
        <v>364</v>
      </c>
      <c r="AK34">
        <f t="shared" si="40"/>
        <v>221</v>
      </c>
      <c r="AL34">
        <v>1000</v>
      </c>
      <c r="AM34">
        <f t="shared" si="35"/>
        <v>2234577</v>
      </c>
      <c r="AN34">
        <f t="shared" si="35"/>
        <v>22355</v>
      </c>
      <c r="AO34" s="18" t="s">
        <v>454</v>
      </c>
      <c r="AP34" t="s">
        <v>455</v>
      </c>
      <c r="AQ34" s="18" t="s">
        <v>457</v>
      </c>
      <c r="AR34" t="s">
        <v>456</v>
      </c>
      <c r="AY34" t="s">
        <v>458</v>
      </c>
      <c r="AZ34" t="s">
        <v>541</v>
      </c>
      <c r="BA34" t="s">
        <v>613</v>
      </c>
      <c r="BB34" t="s">
        <v>542</v>
      </c>
      <c r="BC34" t="s">
        <v>459</v>
      </c>
      <c r="BD34" t="s">
        <v>543</v>
      </c>
      <c r="DG34" t="str">
        <f t="shared" si="5"/>
        <v>arts | Blau | M | title_de</v>
      </c>
      <c r="DH34" t="str">
        <f t="shared" si="5"/>
        <v>arts | Blau | M | description_de</v>
      </c>
      <c r="DI34" t="str">
        <f t="shared" si="5"/>
        <v>arts | Blau | M | bullet1_de</v>
      </c>
      <c r="DJ34" t="str">
        <f t="shared" si="5"/>
        <v>arts | Blau | M | bullet2_de</v>
      </c>
      <c r="DK34" t="str">
        <f t="shared" si="5"/>
        <v>arts | Blau | M | bullet3_de</v>
      </c>
      <c r="DL34" t="str">
        <f t="shared" si="20"/>
        <v>arts | Blau | M | bullet4_de</v>
      </c>
      <c r="DM34" t="str">
        <f t="shared" si="6"/>
        <v>arts | Blau | M | bullet5_de</v>
      </c>
      <c r="DN34" t="str">
        <f t="shared" si="6"/>
        <v>arts | Blau | M | seo_title_de</v>
      </c>
      <c r="DO34" t="str">
        <f t="shared" si="6"/>
        <v>arts | Blau | M | seo_description_de</v>
      </c>
      <c r="DP34" t="str">
        <f t="shared" si="49"/>
        <v>arts | Blau | M | seo_keywords_de</v>
      </c>
      <c r="DQ34" t="str">
        <f t="shared" si="49"/>
        <v>arts | Blau | M | title_en</v>
      </c>
      <c r="DR34" t="str">
        <f t="shared" si="49"/>
        <v>arts | Blau | M | description_en</v>
      </c>
      <c r="DS34" t="str">
        <f t="shared" si="49"/>
        <v>arts | Blau | M | bullet1_en</v>
      </c>
      <c r="DT34" t="str">
        <f t="shared" si="49"/>
        <v>arts | Blau | M | bullet2_en</v>
      </c>
      <c r="DU34" t="str">
        <f t="shared" si="49"/>
        <v>arts | Blau | M | bullet3_en</v>
      </c>
      <c r="DV34" t="str">
        <f t="shared" si="49"/>
        <v>arts | Blau | M | bullet4_en</v>
      </c>
      <c r="DW34" t="str">
        <f t="shared" si="49"/>
        <v>arts | Blau | M | bullet5_en</v>
      </c>
      <c r="DX34" t="str">
        <f t="shared" si="49"/>
        <v>arts | Blau | M | seo_title_en</v>
      </c>
      <c r="DY34" t="str">
        <f t="shared" si="49"/>
        <v>arts | Blau | M | seo_description_en</v>
      </c>
      <c r="DZ34" t="str">
        <f t="shared" si="49"/>
        <v>arts | Blau | M | seo_keywords_en</v>
      </c>
      <c r="EA34" t="str">
        <f t="shared" si="49"/>
        <v>arts | Blau | M | title_tr</v>
      </c>
      <c r="EB34" t="str">
        <f t="shared" si="49"/>
        <v>arts | Blau | M | description_tr</v>
      </c>
      <c r="EC34" t="str">
        <f t="shared" si="49"/>
        <v>arts | Blau | M | bullet1_tr</v>
      </c>
      <c r="ED34" t="str">
        <f t="shared" si="49"/>
        <v>arts | Blau | M | bullet2_tr</v>
      </c>
      <c r="EE34" t="str">
        <f t="shared" si="49"/>
        <v>arts | Blau | M | bullet3_tr</v>
      </c>
      <c r="EF34" t="str">
        <f t="shared" si="49"/>
        <v>arts | Blau | M | bullet4_tr</v>
      </c>
      <c r="EG34" t="str">
        <f t="shared" si="49"/>
        <v>arts | Blau | M | bullet5_tr</v>
      </c>
      <c r="EH34" t="str">
        <f t="shared" si="49"/>
        <v>arts | Blau | M | seo_title_tr</v>
      </c>
      <c r="EI34" t="str">
        <f t="shared" si="49"/>
        <v>arts | Blau | M | seo_description_tr</v>
      </c>
      <c r="EJ34" t="str">
        <f t="shared" si="49"/>
        <v>arts | Blau | M | seo_keywords_tr</v>
      </c>
      <c r="EK34" t="str">
        <f t="shared" si="49"/>
        <v>arts | Blau | M | title_fr</v>
      </c>
      <c r="EL34" t="str">
        <f t="shared" si="49"/>
        <v>arts | Blau | M | description_fr</v>
      </c>
      <c r="EM34" t="str">
        <f t="shared" si="49"/>
        <v>arts | Blau | M | bullet1_fr</v>
      </c>
      <c r="EN34" t="str">
        <f t="shared" si="49"/>
        <v>arts | Blau | M | bullet2_fr</v>
      </c>
      <c r="EO34" t="str">
        <f t="shared" si="49"/>
        <v>arts | Blau | M | bullet3_fr</v>
      </c>
      <c r="EP34" t="str">
        <f t="shared" si="49"/>
        <v>arts | Blau | M | bullet4_fr</v>
      </c>
      <c r="EQ34" t="str">
        <f t="shared" si="49"/>
        <v>arts | Blau | M | bullet5_fr</v>
      </c>
      <c r="ER34" t="str">
        <f t="shared" si="49"/>
        <v>arts | Blau | M | seo_title_fr</v>
      </c>
      <c r="ES34" t="str">
        <f t="shared" si="49"/>
        <v>arts | Blau | M | seo_description_fr</v>
      </c>
      <c r="ET34" t="str">
        <f t="shared" si="49"/>
        <v>arts | Blau | M | seo_keywords_fr</v>
      </c>
      <c r="EU34" t="str">
        <f t="shared" si="49"/>
        <v>arts | Blau | M | title_it</v>
      </c>
      <c r="EV34" t="str">
        <f t="shared" si="49"/>
        <v>arts | Blau | M | description_it</v>
      </c>
      <c r="EW34" t="str">
        <f t="shared" si="49"/>
        <v>arts | Blau | M | bullet1_it</v>
      </c>
      <c r="EX34" t="str">
        <f t="shared" si="49"/>
        <v>arts | Blau | M | bullet2_it</v>
      </c>
      <c r="EY34" t="str">
        <f t="shared" si="49"/>
        <v>arts | Blau | M | bullet3_it</v>
      </c>
      <c r="EZ34" t="str">
        <f t="shared" si="49"/>
        <v>arts | Blau | M | bullet4_it</v>
      </c>
      <c r="FA34" t="str">
        <f t="shared" si="49"/>
        <v>arts | Blau | M | bullet5_it</v>
      </c>
      <c r="FB34" t="str">
        <f t="shared" si="49"/>
        <v>arts | Blau | M | seo_title_it</v>
      </c>
      <c r="FC34" t="str">
        <f t="shared" si="49"/>
        <v>arts | Blau | M | seo_description_it</v>
      </c>
      <c r="FD34" t="str">
        <f t="shared" si="49"/>
        <v>arts | Blau | M | seo_keywords_it</v>
      </c>
      <c r="FE34" t="str">
        <f t="shared" si="49"/>
        <v>arts | Blau | M | title_es</v>
      </c>
      <c r="FF34" t="str">
        <f t="shared" si="49"/>
        <v>arts | Blau | M | description_es</v>
      </c>
      <c r="FG34" t="str">
        <f t="shared" si="49"/>
        <v>arts | Blau | M | bullet1_es</v>
      </c>
      <c r="FH34" t="str">
        <f t="shared" si="49"/>
        <v>arts | Blau | M | bullet2_es</v>
      </c>
      <c r="FI34" t="str">
        <f t="shared" si="49"/>
        <v>arts | Blau | M | bullet3_es</v>
      </c>
      <c r="FJ34" t="str">
        <f t="shared" si="49"/>
        <v>arts | Blau | M | bullet4_es</v>
      </c>
      <c r="FK34" t="str">
        <f t="shared" si="49"/>
        <v>arts | Blau | M | bullet5_es</v>
      </c>
      <c r="FL34" t="str">
        <f t="shared" si="49"/>
        <v>arts | Blau | M | seo_title_es</v>
      </c>
      <c r="FM34" t="str">
        <f t="shared" si="49"/>
        <v>arts | Blau | M | seo_description_es</v>
      </c>
      <c r="FN34" t="str">
        <f t="shared" si="49"/>
        <v>arts | Blau | M | seo_keywords_es</v>
      </c>
      <c r="FO34">
        <f t="shared" si="13"/>
        <v>36.99</v>
      </c>
      <c r="FP34">
        <f t="shared" si="7"/>
        <v>39.99</v>
      </c>
      <c r="FQ34">
        <f t="shared" si="8"/>
        <v>34.99</v>
      </c>
    </row>
    <row r="35" spans="1:173" x14ac:dyDescent="0.35">
      <c r="A35" t="s">
        <v>372</v>
      </c>
      <c r="B35" t="str">
        <f t="shared" si="36"/>
        <v>eco-parent2-160526-Blau-L</v>
      </c>
      <c r="C35" t="s">
        <v>418</v>
      </c>
      <c r="D35" t="s">
        <v>354</v>
      </c>
      <c r="E35">
        <f t="shared" si="37"/>
        <v>2234567901</v>
      </c>
      <c r="F35">
        <f t="shared" si="43"/>
        <v>110</v>
      </c>
      <c r="G35" t="s">
        <v>357</v>
      </c>
      <c r="H35" t="s">
        <v>417</v>
      </c>
      <c r="I35" t="s">
        <v>404</v>
      </c>
      <c r="J35" t="s">
        <v>360</v>
      </c>
      <c r="K35" t="s">
        <v>423</v>
      </c>
      <c r="L35" t="s">
        <v>425</v>
      </c>
      <c r="M35" t="str">
        <f t="shared" si="2"/>
        <v>Tal2</v>
      </c>
      <c r="N35">
        <f t="shared" si="38"/>
        <v>212</v>
      </c>
      <c r="O35">
        <f t="shared" si="10"/>
        <v>29</v>
      </c>
      <c r="P35">
        <f t="shared" ref="P35:Q35" si="52">O35+5</f>
        <v>34</v>
      </c>
      <c r="Q35">
        <f t="shared" si="52"/>
        <v>39</v>
      </c>
      <c r="R35" s="18" t="s">
        <v>438</v>
      </c>
      <c r="S35" s="18" t="s">
        <v>439</v>
      </c>
      <c r="W35" s="18" t="s">
        <v>453</v>
      </c>
      <c r="Y35" t="s">
        <v>415</v>
      </c>
      <c r="AA35" t="s">
        <v>406</v>
      </c>
      <c r="AJ35" t="s">
        <v>364</v>
      </c>
      <c r="AK35">
        <f t="shared" si="40"/>
        <v>222</v>
      </c>
      <c r="AL35">
        <v>1000</v>
      </c>
      <c r="AM35">
        <f t="shared" si="35"/>
        <v>2234578</v>
      </c>
      <c r="AN35">
        <f t="shared" si="35"/>
        <v>22356</v>
      </c>
      <c r="AO35" s="18" t="s">
        <v>454</v>
      </c>
      <c r="AP35" t="s">
        <v>455</v>
      </c>
      <c r="AQ35" s="18" t="s">
        <v>457</v>
      </c>
      <c r="AR35" t="s">
        <v>456</v>
      </c>
      <c r="AY35" t="s">
        <v>458</v>
      </c>
      <c r="AZ35" t="s">
        <v>544</v>
      </c>
      <c r="BA35" t="s">
        <v>613</v>
      </c>
      <c r="BB35" t="s">
        <v>545</v>
      </c>
      <c r="BC35" t="s">
        <v>459</v>
      </c>
      <c r="BD35" t="s">
        <v>546</v>
      </c>
      <c r="DG35" t="str">
        <f t="shared" si="5"/>
        <v>arts | Blau | L | title_de</v>
      </c>
      <c r="DH35" t="str">
        <f t="shared" si="5"/>
        <v>arts | Blau | L | description_de</v>
      </c>
      <c r="DI35" t="str">
        <f t="shared" si="5"/>
        <v>arts | Blau | L | bullet1_de</v>
      </c>
      <c r="DJ35" t="str">
        <f t="shared" si="5"/>
        <v>arts | Blau | L | bullet2_de</v>
      </c>
      <c r="DK35" t="str">
        <f t="shared" si="5"/>
        <v>arts | Blau | L | bullet3_de</v>
      </c>
      <c r="DL35" t="str">
        <f t="shared" si="20"/>
        <v>arts | Blau | L | bullet4_de</v>
      </c>
      <c r="DM35" t="str">
        <f t="shared" si="6"/>
        <v>arts | Blau | L | bullet5_de</v>
      </c>
      <c r="DN35" t="str">
        <f t="shared" si="6"/>
        <v>arts | Blau | L | seo_title_de</v>
      </c>
      <c r="DO35" t="str">
        <f t="shared" si="6"/>
        <v>arts | Blau | L | seo_description_de</v>
      </c>
      <c r="DP35" t="str">
        <f t="shared" si="49"/>
        <v>arts | Blau | L | seo_keywords_de</v>
      </c>
      <c r="DQ35" t="str">
        <f t="shared" si="49"/>
        <v>arts | Blau | L | title_en</v>
      </c>
      <c r="DR35" t="str">
        <f t="shared" si="49"/>
        <v>arts | Blau | L | description_en</v>
      </c>
      <c r="DS35" t="str">
        <f t="shared" si="49"/>
        <v>arts | Blau | L | bullet1_en</v>
      </c>
      <c r="DT35" t="str">
        <f t="shared" si="49"/>
        <v>arts | Blau | L | bullet2_en</v>
      </c>
      <c r="DU35" t="str">
        <f t="shared" si="49"/>
        <v>arts | Blau | L | bullet3_en</v>
      </c>
      <c r="DV35" t="str">
        <f t="shared" si="49"/>
        <v>arts | Blau | L | bullet4_en</v>
      </c>
      <c r="DW35" t="str">
        <f t="shared" si="49"/>
        <v>arts | Blau | L | bullet5_en</v>
      </c>
      <c r="DX35" t="str">
        <f t="shared" si="49"/>
        <v>arts | Blau | L | seo_title_en</v>
      </c>
      <c r="DY35" t="str">
        <f t="shared" si="49"/>
        <v>arts | Blau | L | seo_description_en</v>
      </c>
      <c r="DZ35" t="str">
        <f t="shared" si="49"/>
        <v>arts | Blau | L | seo_keywords_en</v>
      </c>
      <c r="EA35" t="str">
        <f t="shared" si="49"/>
        <v>arts | Blau | L | title_tr</v>
      </c>
      <c r="EB35" t="str">
        <f t="shared" si="49"/>
        <v>arts | Blau | L | description_tr</v>
      </c>
      <c r="EC35" t="str">
        <f t="shared" si="49"/>
        <v>arts | Blau | L | bullet1_tr</v>
      </c>
      <c r="ED35" t="str">
        <f t="shared" si="49"/>
        <v>arts | Blau | L | bullet2_tr</v>
      </c>
      <c r="EE35" t="str">
        <f t="shared" si="49"/>
        <v>arts | Blau | L | bullet3_tr</v>
      </c>
      <c r="EF35" t="str">
        <f t="shared" si="49"/>
        <v>arts | Blau | L | bullet4_tr</v>
      </c>
      <c r="EG35" t="str">
        <f t="shared" si="49"/>
        <v>arts | Blau | L | bullet5_tr</v>
      </c>
      <c r="EH35" t="str">
        <f t="shared" si="49"/>
        <v>arts | Blau | L | seo_title_tr</v>
      </c>
      <c r="EI35" t="str">
        <f t="shared" si="49"/>
        <v>arts | Blau | L | seo_description_tr</v>
      </c>
      <c r="EJ35" t="str">
        <f t="shared" si="49"/>
        <v>arts | Blau | L | seo_keywords_tr</v>
      </c>
      <c r="EK35" t="str">
        <f t="shared" si="49"/>
        <v>arts | Blau | L | title_fr</v>
      </c>
      <c r="EL35" t="str">
        <f t="shared" si="49"/>
        <v>arts | Blau | L | description_fr</v>
      </c>
      <c r="EM35" t="str">
        <f t="shared" si="49"/>
        <v>arts | Blau | L | bullet1_fr</v>
      </c>
      <c r="EN35" t="str">
        <f t="shared" si="49"/>
        <v>arts | Blau | L | bullet2_fr</v>
      </c>
      <c r="EO35" t="str">
        <f t="shared" si="49"/>
        <v>arts | Blau | L | bullet3_fr</v>
      </c>
      <c r="EP35" t="str">
        <f t="shared" si="49"/>
        <v>arts | Blau | L | bullet4_fr</v>
      </c>
      <c r="EQ35" t="str">
        <f t="shared" si="49"/>
        <v>arts | Blau | L | bullet5_fr</v>
      </c>
      <c r="ER35" t="str">
        <f t="shared" si="49"/>
        <v>arts | Blau | L | seo_title_fr</v>
      </c>
      <c r="ES35" t="str">
        <f t="shared" si="49"/>
        <v>arts | Blau | L | seo_description_fr</v>
      </c>
      <c r="ET35" t="str">
        <f t="shared" si="49"/>
        <v>arts | Blau | L | seo_keywords_fr</v>
      </c>
      <c r="EU35" t="str">
        <f t="shared" si="49"/>
        <v>arts | Blau | L | title_it</v>
      </c>
      <c r="EV35" t="str">
        <f t="shared" si="49"/>
        <v>arts | Blau | L | description_it</v>
      </c>
      <c r="EW35" t="str">
        <f t="shared" si="49"/>
        <v>arts | Blau | L | bullet1_it</v>
      </c>
      <c r="EX35" t="str">
        <f t="shared" si="49"/>
        <v>arts | Blau | L | bullet2_it</v>
      </c>
      <c r="EY35" t="str">
        <f t="shared" si="49"/>
        <v>arts | Blau | L | bullet3_it</v>
      </c>
      <c r="EZ35" t="str">
        <f t="shared" si="49"/>
        <v>arts | Blau | L | bullet4_it</v>
      </c>
      <c r="FA35" t="str">
        <f t="shared" si="49"/>
        <v>arts | Blau | L | bullet5_it</v>
      </c>
      <c r="FB35" t="str">
        <f t="shared" si="49"/>
        <v>arts | Blau | L | seo_title_it</v>
      </c>
      <c r="FC35" t="str">
        <f t="shared" si="49"/>
        <v>arts | Blau | L | seo_description_it</v>
      </c>
      <c r="FD35" t="str">
        <f t="shared" si="49"/>
        <v>arts | Blau | L | seo_keywords_it</v>
      </c>
      <c r="FE35" t="str">
        <f t="shared" si="49"/>
        <v>arts | Blau | L | title_es</v>
      </c>
      <c r="FF35" t="str">
        <f t="shared" si="49"/>
        <v>arts | Blau | L | description_es</v>
      </c>
      <c r="FG35" t="str">
        <f t="shared" si="49"/>
        <v>arts | Blau | L | bullet1_es</v>
      </c>
      <c r="FH35" t="str">
        <f t="shared" si="49"/>
        <v>arts | Blau | L | bullet2_es</v>
      </c>
      <c r="FI35" t="str">
        <f t="shared" si="49"/>
        <v>arts | Blau | L | bullet3_es</v>
      </c>
      <c r="FJ35" t="str">
        <f t="shared" si="49"/>
        <v>arts | Blau | L | bullet4_es</v>
      </c>
      <c r="FK35" t="str">
        <f t="shared" si="49"/>
        <v>arts | Blau | L | bullet5_es</v>
      </c>
      <c r="FL35" t="str">
        <f t="shared" si="49"/>
        <v>arts | Blau | L | seo_title_es</v>
      </c>
      <c r="FM35" t="str">
        <f t="shared" si="49"/>
        <v>arts | Blau | L | seo_description_es</v>
      </c>
      <c r="FN35" t="str">
        <f t="shared" si="49"/>
        <v>arts | Blau | L | seo_keywords_es</v>
      </c>
      <c r="FO35">
        <f t="shared" si="13"/>
        <v>37.99</v>
      </c>
      <c r="FP35">
        <f t="shared" si="7"/>
        <v>40.99</v>
      </c>
      <c r="FQ35">
        <f t="shared" si="8"/>
        <v>35.99</v>
      </c>
    </row>
    <row r="36" spans="1:173" x14ac:dyDescent="0.35">
      <c r="A36" t="s">
        <v>372</v>
      </c>
      <c r="B36" t="str">
        <f t="shared" si="36"/>
        <v>eco-parent2-160526-Blau-XL</v>
      </c>
      <c r="C36" t="s">
        <v>418</v>
      </c>
      <c r="D36" t="s">
        <v>354</v>
      </c>
      <c r="E36">
        <f t="shared" si="37"/>
        <v>2234567902</v>
      </c>
      <c r="F36">
        <f t="shared" si="43"/>
        <v>120</v>
      </c>
      <c r="G36" t="s">
        <v>357</v>
      </c>
      <c r="H36" t="s">
        <v>417</v>
      </c>
      <c r="I36" t="s">
        <v>404</v>
      </c>
      <c r="J36" t="s">
        <v>360</v>
      </c>
      <c r="K36" t="s">
        <v>423</v>
      </c>
      <c r="L36" t="s">
        <v>425</v>
      </c>
      <c r="M36" t="str">
        <f t="shared" si="2"/>
        <v>Tal2</v>
      </c>
      <c r="N36">
        <f t="shared" si="38"/>
        <v>213</v>
      </c>
      <c r="O36">
        <f t="shared" si="10"/>
        <v>30</v>
      </c>
      <c r="P36">
        <f t="shared" ref="P36:Q36" si="53">O36+5</f>
        <v>35</v>
      </c>
      <c r="Q36">
        <f t="shared" si="53"/>
        <v>40</v>
      </c>
      <c r="R36" s="18" t="s">
        <v>438</v>
      </c>
      <c r="S36" s="18" t="s">
        <v>439</v>
      </c>
      <c r="W36" s="18" t="s">
        <v>453</v>
      </c>
      <c r="Y36" t="s">
        <v>415</v>
      </c>
      <c r="AA36" t="s">
        <v>412</v>
      </c>
      <c r="AJ36" t="s">
        <v>364</v>
      </c>
      <c r="AK36">
        <f t="shared" si="40"/>
        <v>223</v>
      </c>
      <c r="AL36">
        <v>1000</v>
      </c>
      <c r="AM36">
        <f t="shared" si="35"/>
        <v>2234579</v>
      </c>
      <c r="AN36">
        <f t="shared" si="35"/>
        <v>22357</v>
      </c>
      <c r="AO36" s="18" t="s">
        <v>454</v>
      </c>
      <c r="AP36" t="s">
        <v>455</v>
      </c>
      <c r="AQ36" s="18" t="s">
        <v>457</v>
      </c>
      <c r="AR36" t="s">
        <v>456</v>
      </c>
      <c r="AY36" t="s">
        <v>458</v>
      </c>
      <c r="AZ36" t="s">
        <v>547</v>
      </c>
      <c r="BA36" t="s">
        <v>613</v>
      </c>
      <c r="BB36" t="s">
        <v>548</v>
      </c>
      <c r="BC36" t="s">
        <v>459</v>
      </c>
      <c r="BD36" t="s">
        <v>549</v>
      </c>
      <c r="DG36" t="str">
        <f t="shared" si="5"/>
        <v>arts | Blau | XL | title_de</v>
      </c>
      <c r="DH36" t="str">
        <f t="shared" si="5"/>
        <v>arts | Blau | XL | description_de</v>
      </c>
      <c r="DI36" t="str">
        <f t="shared" si="5"/>
        <v>arts | Blau | XL | bullet1_de</v>
      </c>
      <c r="DJ36" t="str">
        <f t="shared" si="5"/>
        <v>arts | Blau | XL | bullet2_de</v>
      </c>
      <c r="DK36" t="str">
        <f t="shared" si="5"/>
        <v>arts | Blau | XL | bullet3_de</v>
      </c>
      <c r="DL36" t="str">
        <f t="shared" si="20"/>
        <v>arts | Blau | XL | bullet4_de</v>
      </c>
      <c r="DM36" t="str">
        <f t="shared" si="6"/>
        <v>arts | Blau | XL | bullet5_de</v>
      </c>
      <c r="DN36" t="str">
        <f t="shared" si="6"/>
        <v>arts | Blau | XL | seo_title_de</v>
      </c>
      <c r="DO36" t="str">
        <f t="shared" si="6"/>
        <v>arts | Blau | XL | seo_description_de</v>
      </c>
      <c r="DP36" t="str">
        <f t="shared" si="49"/>
        <v>arts | Blau | XL | seo_keywords_de</v>
      </c>
      <c r="DQ36" t="str">
        <f t="shared" si="49"/>
        <v>arts | Blau | XL | title_en</v>
      </c>
      <c r="DR36" t="str">
        <f t="shared" si="49"/>
        <v>arts | Blau | XL | description_en</v>
      </c>
      <c r="DS36" t="str">
        <f t="shared" si="49"/>
        <v>arts | Blau | XL | bullet1_en</v>
      </c>
      <c r="DT36" t="str">
        <f t="shared" si="49"/>
        <v>arts | Blau | XL | bullet2_en</v>
      </c>
      <c r="DU36" t="str">
        <f t="shared" si="49"/>
        <v>arts | Blau | XL | bullet3_en</v>
      </c>
      <c r="DV36" t="str">
        <f t="shared" si="49"/>
        <v>arts | Blau | XL | bullet4_en</v>
      </c>
      <c r="DW36" t="str">
        <f t="shared" si="49"/>
        <v>arts | Blau | XL | bullet5_en</v>
      </c>
      <c r="DX36" t="str">
        <f t="shared" si="49"/>
        <v>arts | Blau | XL | seo_title_en</v>
      </c>
      <c r="DY36" t="str">
        <f t="shared" si="49"/>
        <v>arts | Blau | XL | seo_description_en</v>
      </c>
      <c r="DZ36" t="str">
        <f t="shared" si="49"/>
        <v>arts | Blau | XL | seo_keywords_en</v>
      </c>
      <c r="EA36" t="str">
        <f t="shared" si="49"/>
        <v>arts | Blau | XL | title_tr</v>
      </c>
      <c r="EB36" t="str">
        <f t="shared" si="49"/>
        <v>arts | Blau | XL | description_tr</v>
      </c>
      <c r="EC36" t="str">
        <f t="shared" si="49"/>
        <v>arts | Blau | XL | bullet1_tr</v>
      </c>
      <c r="ED36" t="str">
        <f t="shared" si="49"/>
        <v>arts | Blau | XL | bullet2_tr</v>
      </c>
      <c r="EE36" t="str">
        <f t="shared" si="49"/>
        <v>arts | Blau | XL | bullet3_tr</v>
      </c>
      <c r="EF36" t="str">
        <f t="shared" si="49"/>
        <v>arts | Blau | XL | bullet4_tr</v>
      </c>
      <c r="EG36" t="str">
        <f t="shared" si="49"/>
        <v>arts | Blau | XL | bullet5_tr</v>
      </c>
      <c r="EH36" t="str">
        <f t="shared" si="49"/>
        <v>arts | Blau | XL | seo_title_tr</v>
      </c>
      <c r="EI36" t="str">
        <f t="shared" si="49"/>
        <v>arts | Blau | XL | seo_description_tr</v>
      </c>
      <c r="EJ36" t="str">
        <f t="shared" si="49"/>
        <v>arts | Blau | XL | seo_keywords_tr</v>
      </c>
      <c r="EK36" t="str">
        <f t="shared" si="49"/>
        <v>arts | Blau | XL | title_fr</v>
      </c>
      <c r="EL36" t="str">
        <f t="shared" si="49"/>
        <v>arts | Blau | XL | description_fr</v>
      </c>
      <c r="EM36" t="str">
        <f t="shared" si="49"/>
        <v>arts | Blau | XL | bullet1_fr</v>
      </c>
      <c r="EN36" t="str">
        <f t="shared" si="49"/>
        <v>arts | Blau | XL | bullet2_fr</v>
      </c>
      <c r="EO36" t="str">
        <f t="shared" si="49"/>
        <v>arts | Blau | XL | bullet3_fr</v>
      </c>
      <c r="EP36" t="str">
        <f t="shared" si="49"/>
        <v>arts | Blau | XL | bullet4_fr</v>
      </c>
      <c r="EQ36" t="str">
        <f t="shared" si="49"/>
        <v>arts | Blau | XL | bullet5_fr</v>
      </c>
      <c r="ER36" t="str">
        <f t="shared" si="49"/>
        <v>arts | Blau | XL | seo_title_fr</v>
      </c>
      <c r="ES36" t="str">
        <f t="shared" si="49"/>
        <v>arts | Blau | XL | seo_description_fr</v>
      </c>
      <c r="ET36" t="str">
        <f t="shared" si="49"/>
        <v>arts | Blau | XL | seo_keywords_fr</v>
      </c>
      <c r="EU36" t="str">
        <f t="shared" si="49"/>
        <v>arts | Blau | XL | title_it</v>
      </c>
      <c r="EV36" t="str">
        <f t="shared" si="49"/>
        <v>arts | Blau | XL | description_it</v>
      </c>
      <c r="EW36" t="str">
        <f t="shared" si="49"/>
        <v>arts | Blau | XL | bullet1_it</v>
      </c>
      <c r="EX36" t="str">
        <f t="shared" si="49"/>
        <v>arts | Blau | XL | bullet2_it</v>
      </c>
      <c r="EY36" t="str">
        <f t="shared" si="49"/>
        <v>arts | Blau | XL | bullet3_it</v>
      </c>
      <c r="EZ36" t="str">
        <f t="shared" si="49"/>
        <v>arts | Blau | XL | bullet4_it</v>
      </c>
      <c r="FA36" t="str">
        <f t="shared" si="49"/>
        <v>arts | Blau | XL | bullet5_it</v>
      </c>
      <c r="FB36" t="str">
        <f t="shared" si="49"/>
        <v>arts | Blau | XL | seo_title_it</v>
      </c>
      <c r="FC36" t="str">
        <f t="shared" si="49"/>
        <v>arts | Blau | XL | seo_description_it</v>
      </c>
      <c r="FD36" t="str">
        <f t="shared" si="49"/>
        <v>arts | Blau | XL | seo_keywords_it</v>
      </c>
      <c r="FE36" t="str">
        <f t="shared" si="49"/>
        <v>arts | Blau | XL | title_es</v>
      </c>
      <c r="FF36" t="str">
        <f t="shared" si="49"/>
        <v>arts | Blau | XL | description_es</v>
      </c>
      <c r="FG36" t="str">
        <f t="shared" si="49"/>
        <v>arts | Blau | XL | bullet1_es</v>
      </c>
      <c r="FH36" t="str">
        <f t="shared" si="49"/>
        <v>arts | Blau | XL | bullet2_es</v>
      </c>
      <c r="FI36" t="str">
        <f t="shared" si="49"/>
        <v>arts | Blau | XL | bullet3_es</v>
      </c>
      <c r="FJ36" t="str">
        <f t="shared" si="49"/>
        <v>arts | Blau | XL | bullet4_es</v>
      </c>
      <c r="FK36" t="str">
        <f t="shared" si="49"/>
        <v>arts | Blau | XL | bullet5_es</v>
      </c>
      <c r="FL36" t="str">
        <f t="shared" si="49"/>
        <v>arts | Blau | XL | seo_title_es</v>
      </c>
      <c r="FM36" t="str">
        <f t="shared" si="49"/>
        <v>arts | Blau | XL | seo_description_es</v>
      </c>
      <c r="FN36" t="str">
        <f t="shared" si="49"/>
        <v>arts | Blau | XL | seo_keywords_es</v>
      </c>
      <c r="FO36">
        <f t="shared" si="13"/>
        <v>38.99</v>
      </c>
      <c r="FP36">
        <f t="shared" si="7"/>
        <v>41.99</v>
      </c>
      <c r="FQ36">
        <f t="shared" si="8"/>
        <v>36.99</v>
      </c>
    </row>
    <row r="37" spans="1:173" x14ac:dyDescent="0.35">
      <c r="A37" t="s">
        <v>372</v>
      </c>
      <c r="B37" t="str">
        <f t="shared" si="36"/>
        <v>eco-parent2-160526-Rot-S</v>
      </c>
      <c r="C37" t="s">
        <v>418</v>
      </c>
      <c r="D37" t="s">
        <v>354</v>
      </c>
      <c r="E37">
        <f t="shared" si="37"/>
        <v>2234567903</v>
      </c>
      <c r="F37">
        <f t="shared" si="43"/>
        <v>130</v>
      </c>
      <c r="G37" t="s">
        <v>357</v>
      </c>
      <c r="H37" t="s">
        <v>417</v>
      </c>
      <c r="I37" t="s">
        <v>404</v>
      </c>
      <c r="J37" t="s">
        <v>360</v>
      </c>
      <c r="K37" t="s">
        <v>423</v>
      </c>
      <c r="L37" t="s">
        <v>425</v>
      </c>
      <c r="M37" t="str">
        <f t="shared" si="2"/>
        <v>Tal2</v>
      </c>
      <c r="N37">
        <f t="shared" si="38"/>
        <v>214</v>
      </c>
      <c r="O37">
        <f t="shared" si="10"/>
        <v>31</v>
      </c>
      <c r="P37">
        <f t="shared" ref="P37:Q37" si="54">O37+5</f>
        <v>36</v>
      </c>
      <c r="Q37">
        <f t="shared" si="54"/>
        <v>41</v>
      </c>
      <c r="R37" s="18" t="s">
        <v>440</v>
      </c>
      <c r="S37" s="18" t="s">
        <v>441</v>
      </c>
      <c r="W37" s="18" t="s">
        <v>452</v>
      </c>
      <c r="Y37" t="s">
        <v>377</v>
      </c>
      <c r="AA37" t="s">
        <v>378</v>
      </c>
      <c r="AJ37" t="s">
        <v>364</v>
      </c>
      <c r="AK37">
        <f t="shared" si="40"/>
        <v>224</v>
      </c>
      <c r="AL37">
        <v>1000</v>
      </c>
      <c r="AM37">
        <f t="shared" si="35"/>
        <v>2234580</v>
      </c>
      <c r="AN37">
        <f t="shared" si="35"/>
        <v>22358</v>
      </c>
      <c r="AO37" s="18" t="s">
        <v>454</v>
      </c>
      <c r="AP37" t="s">
        <v>455</v>
      </c>
      <c r="AQ37" s="18" t="s">
        <v>457</v>
      </c>
      <c r="AR37" t="s">
        <v>456</v>
      </c>
      <c r="AY37" t="s">
        <v>458</v>
      </c>
      <c r="AZ37" t="s">
        <v>550</v>
      </c>
      <c r="BA37" t="s">
        <v>613</v>
      </c>
      <c r="BB37" t="s">
        <v>551</v>
      </c>
      <c r="BC37" t="s">
        <v>459</v>
      </c>
      <c r="BD37" t="s">
        <v>552</v>
      </c>
      <c r="DG37" t="str">
        <f t="shared" si="5"/>
        <v>arts | Rot | S | title_de</v>
      </c>
      <c r="DH37" t="str">
        <f t="shared" si="5"/>
        <v>arts | Rot | S | description_de</v>
      </c>
      <c r="DI37" t="str">
        <f t="shared" si="5"/>
        <v>arts | Rot | S | bullet1_de</v>
      </c>
      <c r="DJ37" t="str">
        <f t="shared" si="5"/>
        <v>arts | Rot | S | bullet2_de</v>
      </c>
      <c r="DK37" t="str">
        <f t="shared" si="5"/>
        <v>arts | Rot | S | bullet3_de</v>
      </c>
      <c r="DL37" t="str">
        <f t="shared" si="20"/>
        <v>arts | Rot | S | bullet4_de</v>
      </c>
      <c r="DM37" t="str">
        <f t="shared" si="6"/>
        <v>arts | Rot | S | bullet5_de</v>
      </c>
      <c r="DN37" t="str">
        <f t="shared" si="6"/>
        <v>arts | Rot | S | seo_title_de</v>
      </c>
      <c r="DO37" t="str">
        <f t="shared" si="6"/>
        <v>arts | Rot | S | seo_description_de</v>
      </c>
      <c r="DP37" t="str">
        <f t="shared" si="49"/>
        <v>arts | Rot | S | seo_keywords_de</v>
      </c>
      <c r="DQ37" t="str">
        <f t="shared" si="49"/>
        <v>arts | Rot | S | title_en</v>
      </c>
      <c r="DR37" t="str">
        <f t="shared" si="49"/>
        <v>arts | Rot | S | description_en</v>
      </c>
      <c r="DS37" t="str">
        <f t="shared" si="49"/>
        <v>arts | Rot | S | bullet1_en</v>
      </c>
      <c r="DT37" t="str">
        <f t="shared" si="49"/>
        <v>arts | Rot | S | bullet2_en</v>
      </c>
      <c r="DU37" t="str">
        <f t="shared" si="49"/>
        <v>arts | Rot | S | bullet3_en</v>
      </c>
      <c r="DV37" t="str">
        <f t="shared" si="49"/>
        <v>arts | Rot | S | bullet4_en</v>
      </c>
      <c r="DW37" t="str">
        <f t="shared" si="49"/>
        <v>arts | Rot | S | bullet5_en</v>
      </c>
      <c r="DX37" t="str">
        <f t="shared" si="49"/>
        <v>arts | Rot | S | seo_title_en</v>
      </c>
      <c r="DY37" t="str">
        <f t="shared" si="49"/>
        <v>arts | Rot | S | seo_description_en</v>
      </c>
      <c r="DZ37" t="str">
        <f t="shared" si="49"/>
        <v>arts | Rot | S | seo_keywords_en</v>
      </c>
      <c r="EA37" t="str">
        <f t="shared" si="49"/>
        <v>arts | Rot | S | title_tr</v>
      </c>
      <c r="EB37" t="str">
        <f t="shared" si="49"/>
        <v>arts | Rot | S | description_tr</v>
      </c>
      <c r="EC37" t="str">
        <f t="shared" ref="DP37:FN42" si="55">MID($I37,1,FIND("-",$I37,1)-1)&amp;" | "&amp;$Y37&amp;" | "&amp;$AA37&amp;" | "&amp;EC$2</f>
        <v>arts | Rot | S | bullet1_tr</v>
      </c>
      <c r="ED37" t="str">
        <f t="shared" si="55"/>
        <v>arts | Rot | S | bullet2_tr</v>
      </c>
      <c r="EE37" t="str">
        <f t="shared" si="55"/>
        <v>arts | Rot | S | bullet3_tr</v>
      </c>
      <c r="EF37" t="str">
        <f t="shared" si="55"/>
        <v>arts | Rot | S | bullet4_tr</v>
      </c>
      <c r="EG37" t="str">
        <f t="shared" si="55"/>
        <v>arts | Rot | S | bullet5_tr</v>
      </c>
      <c r="EH37" t="str">
        <f t="shared" si="55"/>
        <v>arts | Rot | S | seo_title_tr</v>
      </c>
      <c r="EI37" t="str">
        <f t="shared" si="55"/>
        <v>arts | Rot | S | seo_description_tr</v>
      </c>
      <c r="EJ37" t="str">
        <f t="shared" si="55"/>
        <v>arts | Rot | S | seo_keywords_tr</v>
      </c>
      <c r="EK37" t="str">
        <f t="shared" si="55"/>
        <v>arts | Rot | S | title_fr</v>
      </c>
      <c r="EL37" t="str">
        <f t="shared" si="55"/>
        <v>arts | Rot | S | description_fr</v>
      </c>
      <c r="EM37" t="str">
        <f t="shared" si="55"/>
        <v>arts | Rot | S | bullet1_fr</v>
      </c>
      <c r="EN37" t="str">
        <f t="shared" si="55"/>
        <v>arts | Rot | S | bullet2_fr</v>
      </c>
      <c r="EO37" t="str">
        <f t="shared" si="55"/>
        <v>arts | Rot | S | bullet3_fr</v>
      </c>
      <c r="EP37" t="str">
        <f t="shared" si="55"/>
        <v>arts | Rot | S | bullet4_fr</v>
      </c>
      <c r="EQ37" t="str">
        <f t="shared" si="55"/>
        <v>arts | Rot | S | bullet5_fr</v>
      </c>
      <c r="ER37" t="str">
        <f t="shared" si="55"/>
        <v>arts | Rot | S | seo_title_fr</v>
      </c>
      <c r="ES37" t="str">
        <f t="shared" si="55"/>
        <v>arts | Rot | S | seo_description_fr</v>
      </c>
      <c r="ET37" t="str">
        <f t="shared" si="55"/>
        <v>arts | Rot | S | seo_keywords_fr</v>
      </c>
      <c r="EU37" t="str">
        <f t="shared" si="55"/>
        <v>arts | Rot | S | title_it</v>
      </c>
      <c r="EV37" t="str">
        <f t="shared" si="55"/>
        <v>arts | Rot | S | description_it</v>
      </c>
      <c r="EW37" t="str">
        <f t="shared" si="55"/>
        <v>arts | Rot | S | bullet1_it</v>
      </c>
      <c r="EX37" t="str">
        <f t="shared" si="55"/>
        <v>arts | Rot | S | bullet2_it</v>
      </c>
      <c r="EY37" t="str">
        <f t="shared" si="55"/>
        <v>arts | Rot | S | bullet3_it</v>
      </c>
      <c r="EZ37" t="str">
        <f t="shared" si="55"/>
        <v>arts | Rot | S | bullet4_it</v>
      </c>
      <c r="FA37" t="str">
        <f t="shared" si="55"/>
        <v>arts | Rot | S | bullet5_it</v>
      </c>
      <c r="FB37" t="str">
        <f t="shared" si="55"/>
        <v>arts | Rot | S | seo_title_it</v>
      </c>
      <c r="FC37" t="str">
        <f t="shared" si="55"/>
        <v>arts | Rot | S | seo_description_it</v>
      </c>
      <c r="FD37" t="str">
        <f t="shared" si="55"/>
        <v>arts | Rot | S | seo_keywords_it</v>
      </c>
      <c r="FE37" t="str">
        <f t="shared" si="55"/>
        <v>arts | Rot | S | title_es</v>
      </c>
      <c r="FF37" t="str">
        <f t="shared" si="55"/>
        <v>arts | Rot | S | description_es</v>
      </c>
      <c r="FG37" t="str">
        <f t="shared" si="55"/>
        <v>arts | Rot | S | bullet1_es</v>
      </c>
      <c r="FH37" t="str">
        <f t="shared" si="55"/>
        <v>arts | Rot | S | bullet2_es</v>
      </c>
      <c r="FI37" t="str">
        <f t="shared" si="55"/>
        <v>arts | Rot | S | bullet3_es</v>
      </c>
      <c r="FJ37" t="str">
        <f t="shared" si="55"/>
        <v>arts | Rot | S | bullet4_es</v>
      </c>
      <c r="FK37" t="str">
        <f t="shared" si="55"/>
        <v>arts | Rot | S | bullet5_es</v>
      </c>
      <c r="FL37" t="str">
        <f t="shared" si="55"/>
        <v>arts | Rot | S | seo_title_es</v>
      </c>
      <c r="FM37" t="str">
        <f t="shared" si="55"/>
        <v>arts | Rot | S | seo_description_es</v>
      </c>
      <c r="FN37" t="str">
        <f t="shared" si="55"/>
        <v>arts | Rot | S | seo_keywords_es</v>
      </c>
      <c r="FO37">
        <f t="shared" si="13"/>
        <v>39.99</v>
      </c>
      <c r="FP37">
        <f t="shared" si="7"/>
        <v>42.99</v>
      </c>
      <c r="FQ37">
        <f t="shared" si="8"/>
        <v>37.99</v>
      </c>
    </row>
    <row r="38" spans="1:173" x14ac:dyDescent="0.35">
      <c r="A38" t="s">
        <v>372</v>
      </c>
      <c r="B38" t="str">
        <f t="shared" si="36"/>
        <v>eco-parent2-160526-Rot-M</v>
      </c>
      <c r="C38" t="s">
        <v>418</v>
      </c>
      <c r="D38" t="s">
        <v>354</v>
      </c>
      <c r="E38">
        <f t="shared" si="37"/>
        <v>2234567904</v>
      </c>
      <c r="F38">
        <f t="shared" si="43"/>
        <v>140</v>
      </c>
      <c r="G38" t="s">
        <v>357</v>
      </c>
      <c r="H38" t="s">
        <v>417</v>
      </c>
      <c r="I38" t="s">
        <v>404</v>
      </c>
      <c r="J38" t="s">
        <v>360</v>
      </c>
      <c r="K38" t="s">
        <v>423</v>
      </c>
      <c r="L38" t="s">
        <v>425</v>
      </c>
      <c r="M38" t="str">
        <f t="shared" si="2"/>
        <v>Tal2</v>
      </c>
      <c r="N38">
        <f t="shared" si="38"/>
        <v>215</v>
      </c>
      <c r="O38">
        <f t="shared" si="10"/>
        <v>32</v>
      </c>
      <c r="P38">
        <f t="shared" ref="P38:Q38" si="56">O38+5</f>
        <v>37</v>
      </c>
      <c r="Q38">
        <f t="shared" si="56"/>
        <v>42</v>
      </c>
      <c r="R38" s="18" t="s">
        <v>440</v>
      </c>
      <c r="S38" s="18" t="s">
        <v>441</v>
      </c>
      <c r="W38" s="18" t="s">
        <v>452</v>
      </c>
      <c r="Y38" t="s">
        <v>377</v>
      </c>
      <c r="AA38" t="s">
        <v>381</v>
      </c>
      <c r="AJ38" t="s">
        <v>364</v>
      </c>
      <c r="AK38">
        <f t="shared" si="40"/>
        <v>225</v>
      </c>
      <c r="AL38">
        <v>1000</v>
      </c>
      <c r="AM38">
        <f t="shared" si="35"/>
        <v>2234581</v>
      </c>
      <c r="AN38">
        <f t="shared" si="35"/>
        <v>22359</v>
      </c>
      <c r="AO38" s="18" t="s">
        <v>454</v>
      </c>
      <c r="AP38" t="s">
        <v>455</v>
      </c>
      <c r="AQ38" s="18" t="s">
        <v>457</v>
      </c>
      <c r="AR38" t="s">
        <v>456</v>
      </c>
      <c r="AY38" t="s">
        <v>458</v>
      </c>
      <c r="AZ38" t="s">
        <v>553</v>
      </c>
      <c r="BA38" t="s">
        <v>613</v>
      </c>
      <c r="BB38" t="s">
        <v>554</v>
      </c>
      <c r="BC38" t="s">
        <v>459</v>
      </c>
      <c r="BD38" t="s">
        <v>555</v>
      </c>
      <c r="DG38" t="str">
        <f t="shared" si="5"/>
        <v>arts | Rot | M | title_de</v>
      </c>
      <c r="DH38" t="str">
        <f t="shared" si="5"/>
        <v>arts | Rot | M | description_de</v>
      </c>
      <c r="DI38" t="str">
        <f t="shared" si="5"/>
        <v>arts | Rot | M | bullet1_de</v>
      </c>
      <c r="DJ38" t="str">
        <f t="shared" si="5"/>
        <v>arts | Rot | M | bullet2_de</v>
      </c>
      <c r="DK38" t="str">
        <f t="shared" si="5"/>
        <v>arts | Rot | M | bullet3_de</v>
      </c>
      <c r="DL38" t="str">
        <f t="shared" si="20"/>
        <v>arts | Rot | M | bullet4_de</v>
      </c>
      <c r="DM38" t="str">
        <f t="shared" si="6"/>
        <v>arts | Rot | M | bullet5_de</v>
      </c>
      <c r="DN38" t="str">
        <f t="shared" si="6"/>
        <v>arts | Rot | M | seo_title_de</v>
      </c>
      <c r="DO38" t="str">
        <f t="shared" si="6"/>
        <v>arts | Rot | M | seo_description_de</v>
      </c>
      <c r="DP38" t="str">
        <f t="shared" si="55"/>
        <v>arts | Rot | M | seo_keywords_de</v>
      </c>
      <c r="DQ38" t="str">
        <f t="shared" si="55"/>
        <v>arts | Rot | M | title_en</v>
      </c>
      <c r="DR38" t="str">
        <f t="shared" si="55"/>
        <v>arts | Rot | M | description_en</v>
      </c>
      <c r="DS38" t="str">
        <f t="shared" si="55"/>
        <v>arts | Rot | M | bullet1_en</v>
      </c>
      <c r="DT38" t="str">
        <f t="shared" si="55"/>
        <v>arts | Rot | M | bullet2_en</v>
      </c>
      <c r="DU38" t="str">
        <f t="shared" si="55"/>
        <v>arts | Rot | M | bullet3_en</v>
      </c>
      <c r="DV38" t="str">
        <f t="shared" si="55"/>
        <v>arts | Rot | M | bullet4_en</v>
      </c>
      <c r="DW38" t="str">
        <f t="shared" si="55"/>
        <v>arts | Rot | M | bullet5_en</v>
      </c>
      <c r="DX38" t="str">
        <f t="shared" si="55"/>
        <v>arts | Rot | M | seo_title_en</v>
      </c>
      <c r="DY38" t="str">
        <f t="shared" si="55"/>
        <v>arts | Rot | M | seo_description_en</v>
      </c>
      <c r="DZ38" t="str">
        <f t="shared" si="55"/>
        <v>arts | Rot | M | seo_keywords_en</v>
      </c>
      <c r="EA38" t="str">
        <f t="shared" si="55"/>
        <v>arts | Rot | M | title_tr</v>
      </c>
      <c r="EB38" t="str">
        <f t="shared" si="55"/>
        <v>arts | Rot | M | description_tr</v>
      </c>
      <c r="EC38" t="str">
        <f t="shared" si="55"/>
        <v>arts | Rot | M | bullet1_tr</v>
      </c>
      <c r="ED38" t="str">
        <f t="shared" si="55"/>
        <v>arts | Rot | M | bullet2_tr</v>
      </c>
      <c r="EE38" t="str">
        <f t="shared" si="55"/>
        <v>arts | Rot | M | bullet3_tr</v>
      </c>
      <c r="EF38" t="str">
        <f t="shared" si="55"/>
        <v>arts | Rot | M | bullet4_tr</v>
      </c>
      <c r="EG38" t="str">
        <f t="shared" si="55"/>
        <v>arts | Rot | M | bullet5_tr</v>
      </c>
      <c r="EH38" t="str">
        <f t="shared" si="55"/>
        <v>arts | Rot | M | seo_title_tr</v>
      </c>
      <c r="EI38" t="str">
        <f t="shared" si="55"/>
        <v>arts | Rot | M | seo_description_tr</v>
      </c>
      <c r="EJ38" t="str">
        <f t="shared" si="55"/>
        <v>arts | Rot | M | seo_keywords_tr</v>
      </c>
      <c r="EK38" t="str">
        <f t="shared" si="55"/>
        <v>arts | Rot | M | title_fr</v>
      </c>
      <c r="EL38" t="str">
        <f t="shared" si="55"/>
        <v>arts | Rot | M | description_fr</v>
      </c>
      <c r="EM38" t="str">
        <f t="shared" si="55"/>
        <v>arts | Rot | M | bullet1_fr</v>
      </c>
      <c r="EN38" t="str">
        <f t="shared" si="55"/>
        <v>arts | Rot | M | bullet2_fr</v>
      </c>
      <c r="EO38" t="str">
        <f t="shared" si="55"/>
        <v>arts | Rot | M | bullet3_fr</v>
      </c>
      <c r="EP38" t="str">
        <f t="shared" si="55"/>
        <v>arts | Rot | M | bullet4_fr</v>
      </c>
      <c r="EQ38" t="str">
        <f t="shared" si="55"/>
        <v>arts | Rot | M | bullet5_fr</v>
      </c>
      <c r="ER38" t="str">
        <f t="shared" si="55"/>
        <v>arts | Rot | M | seo_title_fr</v>
      </c>
      <c r="ES38" t="str">
        <f t="shared" si="55"/>
        <v>arts | Rot | M | seo_description_fr</v>
      </c>
      <c r="ET38" t="str">
        <f t="shared" si="55"/>
        <v>arts | Rot | M | seo_keywords_fr</v>
      </c>
      <c r="EU38" t="str">
        <f t="shared" si="55"/>
        <v>arts | Rot | M | title_it</v>
      </c>
      <c r="EV38" t="str">
        <f t="shared" si="55"/>
        <v>arts | Rot | M | description_it</v>
      </c>
      <c r="EW38" t="str">
        <f t="shared" si="55"/>
        <v>arts | Rot | M | bullet1_it</v>
      </c>
      <c r="EX38" t="str">
        <f t="shared" si="55"/>
        <v>arts | Rot | M | bullet2_it</v>
      </c>
      <c r="EY38" t="str">
        <f t="shared" si="55"/>
        <v>arts | Rot | M | bullet3_it</v>
      </c>
      <c r="EZ38" t="str">
        <f t="shared" si="55"/>
        <v>arts | Rot | M | bullet4_it</v>
      </c>
      <c r="FA38" t="str">
        <f t="shared" si="55"/>
        <v>arts | Rot | M | bullet5_it</v>
      </c>
      <c r="FB38" t="str">
        <f t="shared" si="55"/>
        <v>arts | Rot | M | seo_title_it</v>
      </c>
      <c r="FC38" t="str">
        <f t="shared" si="55"/>
        <v>arts | Rot | M | seo_description_it</v>
      </c>
      <c r="FD38" t="str">
        <f t="shared" si="55"/>
        <v>arts | Rot | M | seo_keywords_it</v>
      </c>
      <c r="FE38" t="str">
        <f t="shared" si="55"/>
        <v>arts | Rot | M | title_es</v>
      </c>
      <c r="FF38" t="str">
        <f t="shared" si="55"/>
        <v>arts | Rot | M | description_es</v>
      </c>
      <c r="FG38" t="str">
        <f t="shared" si="55"/>
        <v>arts | Rot | M | bullet1_es</v>
      </c>
      <c r="FH38" t="str">
        <f t="shared" si="55"/>
        <v>arts | Rot | M | bullet2_es</v>
      </c>
      <c r="FI38" t="str">
        <f t="shared" si="55"/>
        <v>arts | Rot | M | bullet3_es</v>
      </c>
      <c r="FJ38" t="str">
        <f t="shared" si="55"/>
        <v>arts | Rot | M | bullet4_es</v>
      </c>
      <c r="FK38" t="str">
        <f t="shared" si="55"/>
        <v>arts | Rot | M | bullet5_es</v>
      </c>
      <c r="FL38" t="str">
        <f t="shared" si="55"/>
        <v>arts | Rot | M | seo_title_es</v>
      </c>
      <c r="FM38" t="str">
        <f t="shared" si="55"/>
        <v>arts | Rot | M | seo_description_es</v>
      </c>
      <c r="FN38" t="str">
        <f t="shared" si="55"/>
        <v>arts | Rot | M | seo_keywords_es</v>
      </c>
      <c r="FO38">
        <f t="shared" si="13"/>
        <v>40.99</v>
      </c>
      <c r="FP38">
        <f t="shared" si="7"/>
        <v>43.99</v>
      </c>
      <c r="FQ38">
        <f t="shared" si="8"/>
        <v>38.99</v>
      </c>
    </row>
    <row r="39" spans="1:173" x14ac:dyDescent="0.35">
      <c r="A39" t="s">
        <v>372</v>
      </c>
      <c r="B39" t="str">
        <f t="shared" si="36"/>
        <v>eco-parent2-160526-Rot-L</v>
      </c>
      <c r="C39" t="s">
        <v>418</v>
      </c>
      <c r="D39" t="s">
        <v>354</v>
      </c>
      <c r="E39">
        <f t="shared" si="37"/>
        <v>2234567905</v>
      </c>
      <c r="F39">
        <f t="shared" si="43"/>
        <v>150</v>
      </c>
      <c r="G39" t="s">
        <v>357</v>
      </c>
      <c r="H39" t="s">
        <v>417</v>
      </c>
      <c r="I39" t="s">
        <v>404</v>
      </c>
      <c r="J39" t="s">
        <v>360</v>
      </c>
      <c r="K39" t="s">
        <v>423</v>
      </c>
      <c r="L39" t="s">
        <v>425</v>
      </c>
      <c r="M39" t="str">
        <f t="shared" si="2"/>
        <v>Tal2</v>
      </c>
      <c r="N39">
        <f t="shared" si="38"/>
        <v>216</v>
      </c>
      <c r="O39">
        <f t="shared" si="10"/>
        <v>33</v>
      </c>
      <c r="P39">
        <f t="shared" ref="P39:Q39" si="57">O39+5</f>
        <v>38</v>
      </c>
      <c r="Q39">
        <f t="shared" si="57"/>
        <v>43</v>
      </c>
      <c r="R39" s="18" t="s">
        <v>440</v>
      </c>
      <c r="S39" s="18" t="s">
        <v>441</v>
      </c>
      <c r="W39" s="18" t="s">
        <v>452</v>
      </c>
      <c r="Y39" t="s">
        <v>377</v>
      </c>
      <c r="AA39" t="s">
        <v>406</v>
      </c>
      <c r="AJ39" t="s">
        <v>364</v>
      </c>
      <c r="AK39">
        <f t="shared" si="40"/>
        <v>226</v>
      </c>
      <c r="AL39">
        <v>1000</v>
      </c>
      <c r="AM39">
        <f t="shared" si="35"/>
        <v>2234582</v>
      </c>
      <c r="AN39">
        <f t="shared" si="35"/>
        <v>22360</v>
      </c>
      <c r="AO39" s="18" t="s">
        <v>454</v>
      </c>
      <c r="AP39" t="s">
        <v>455</v>
      </c>
      <c r="AQ39" s="18" t="s">
        <v>457</v>
      </c>
      <c r="AR39" t="s">
        <v>456</v>
      </c>
      <c r="AY39" t="s">
        <v>458</v>
      </c>
      <c r="AZ39" t="s">
        <v>556</v>
      </c>
      <c r="BA39" t="s">
        <v>613</v>
      </c>
      <c r="BB39" t="s">
        <v>557</v>
      </c>
      <c r="BC39" t="s">
        <v>459</v>
      </c>
      <c r="BD39" t="s">
        <v>558</v>
      </c>
      <c r="DG39" t="str">
        <f t="shared" si="5"/>
        <v>arts | Rot | L | title_de</v>
      </c>
      <c r="DH39" t="str">
        <f t="shared" si="5"/>
        <v>arts | Rot | L | description_de</v>
      </c>
      <c r="DI39" t="str">
        <f t="shared" si="5"/>
        <v>arts | Rot | L | bullet1_de</v>
      </c>
      <c r="DJ39" t="str">
        <f t="shared" si="5"/>
        <v>arts | Rot | L | bullet2_de</v>
      </c>
      <c r="DK39" t="str">
        <f t="shared" si="5"/>
        <v>arts | Rot | L | bullet3_de</v>
      </c>
      <c r="DL39" t="str">
        <f t="shared" si="20"/>
        <v>arts | Rot | L | bullet4_de</v>
      </c>
      <c r="DM39" t="str">
        <f t="shared" si="6"/>
        <v>arts | Rot | L | bullet5_de</v>
      </c>
      <c r="DN39" t="str">
        <f t="shared" si="6"/>
        <v>arts | Rot | L | seo_title_de</v>
      </c>
      <c r="DO39" t="str">
        <f t="shared" si="6"/>
        <v>arts | Rot | L | seo_description_de</v>
      </c>
      <c r="DP39" t="str">
        <f t="shared" si="55"/>
        <v>arts | Rot | L | seo_keywords_de</v>
      </c>
      <c r="DQ39" t="str">
        <f t="shared" si="55"/>
        <v>arts | Rot | L | title_en</v>
      </c>
      <c r="DR39" t="str">
        <f t="shared" si="55"/>
        <v>arts | Rot | L | description_en</v>
      </c>
      <c r="DS39" t="str">
        <f t="shared" si="55"/>
        <v>arts | Rot | L | bullet1_en</v>
      </c>
      <c r="DT39" t="str">
        <f t="shared" si="55"/>
        <v>arts | Rot | L | bullet2_en</v>
      </c>
      <c r="DU39" t="str">
        <f t="shared" si="55"/>
        <v>arts | Rot | L | bullet3_en</v>
      </c>
      <c r="DV39" t="str">
        <f t="shared" si="55"/>
        <v>arts | Rot | L | bullet4_en</v>
      </c>
      <c r="DW39" t="str">
        <f t="shared" si="55"/>
        <v>arts | Rot | L | bullet5_en</v>
      </c>
      <c r="DX39" t="str">
        <f t="shared" si="55"/>
        <v>arts | Rot | L | seo_title_en</v>
      </c>
      <c r="DY39" t="str">
        <f t="shared" si="55"/>
        <v>arts | Rot | L | seo_description_en</v>
      </c>
      <c r="DZ39" t="str">
        <f t="shared" si="55"/>
        <v>arts | Rot | L | seo_keywords_en</v>
      </c>
      <c r="EA39" t="str">
        <f t="shared" si="55"/>
        <v>arts | Rot | L | title_tr</v>
      </c>
      <c r="EB39" t="str">
        <f t="shared" si="55"/>
        <v>arts | Rot | L | description_tr</v>
      </c>
      <c r="EC39" t="str">
        <f t="shared" si="55"/>
        <v>arts | Rot | L | bullet1_tr</v>
      </c>
      <c r="ED39" t="str">
        <f t="shared" si="55"/>
        <v>arts | Rot | L | bullet2_tr</v>
      </c>
      <c r="EE39" t="str">
        <f t="shared" si="55"/>
        <v>arts | Rot | L | bullet3_tr</v>
      </c>
      <c r="EF39" t="str">
        <f t="shared" si="55"/>
        <v>arts | Rot | L | bullet4_tr</v>
      </c>
      <c r="EG39" t="str">
        <f t="shared" si="55"/>
        <v>arts | Rot | L | bullet5_tr</v>
      </c>
      <c r="EH39" t="str">
        <f t="shared" si="55"/>
        <v>arts | Rot | L | seo_title_tr</v>
      </c>
      <c r="EI39" t="str">
        <f t="shared" si="55"/>
        <v>arts | Rot | L | seo_description_tr</v>
      </c>
      <c r="EJ39" t="str">
        <f t="shared" si="55"/>
        <v>arts | Rot | L | seo_keywords_tr</v>
      </c>
      <c r="EK39" t="str">
        <f t="shared" si="55"/>
        <v>arts | Rot | L | title_fr</v>
      </c>
      <c r="EL39" t="str">
        <f t="shared" si="55"/>
        <v>arts | Rot | L | description_fr</v>
      </c>
      <c r="EM39" t="str">
        <f t="shared" si="55"/>
        <v>arts | Rot | L | bullet1_fr</v>
      </c>
      <c r="EN39" t="str">
        <f t="shared" si="55"/>
        <v>arts | Rot | L | bullet2_fr</v>
      </c>
      <c r="EO39" t="str">
        <f t="shared" si="55"/>
        <v>arts | Rot | L | bullet3_fr</v>
      </c>
      <c r="EP39" t="str">
        <f t="shared" si="55"/>
        <v>arts | Rot | L | bullet4_fr</v>
      </c>
      <c r="EQ39" t="str">
        <f t="shared" si="55"/>
        <v>arts | Rot | L | bullet5_fr</v>
      </c>
      <c r="ER39" t="str">
        <f t="shared" si="55"/>
        <v>arts | Rot | L | seo_title_fr</v>
      </c>
      <c r="ES39" t="str">
        <f t="shared" si="55"/>
        <v>arts | Rot | L | seo_description_fr</v>
      </c>
      <c r="ET39" t="str">
        <f t="shared" si="55"/>
        <v>arts | Rot | L | seo_keywords_fr</v>
      </c>
      <c r="EU39" t="str">
        <f t="shared" si="55"/>
        <v>arts | Rot | L | title_it</v>
      </c>
      <c r="EV39" t="str">
        <f t="shared" si="55"/>
        <v>arts | Rot | L | description_it</v>
      </c>
      <c r="EW39" t="str">
        <f t="shared" si="55"/>
        <v>arts | Rot | L | bullet1_it</v>
      </c>
      <c r="EX39" t="str">
        <f t="shared" si="55"/>
        <v>arts | Rot | L | bullet2_it</v>
      </c>
      <c r="EY39" t="str">
        <f t="shared" si="55"/>
        <v>arts | Rot | L | bullet3_it</v>
      </c>
      <c r="EZ39" t="str">
        <f t="shared" si="55"/>
        <v>arts | Rot | L | bullet4_it</v>
      </c>
      <c r="FA39" t="str">
        <f t="shared" si="55"/>
        <v>arts | Rot | L | bullet5_it</v>
      </c>
      <c r="FB39" t="str">
        <f t="shared" si="55"/>
        <v>arts | Rot | L | seo_title_it</v>
      </c>
      <c r="FC39" t="str">
        <f t="shared" si="55"/>
        <v>arts | Rot | L | seo_description_it</v>
      </c>
      <c r="FD39" t="str">
        <f t="shared" si="55"/>
        <v>arts | Rot | L | seo_keywords_it</v>
      </c>
      <c r="FE39" t="str">
        <f t="shared" si="55"/>
        <v>arts | Rot | L | title_es</v>
      </c>
      <c r="FF39" t="str">
        <f t="shared" si="55"/>
        <v>arts | Rot | L | description_es</v>
      </c>
      <c r="FG39" t="str">
        <f t="shared" si="55"/>
        <v>arts | Rot | L | bullet1_es</v>
      </c>
      <c r="FH39" t="str">
        <f t="shared" si="55"/>
        <v>arts | Rot | L | bullet2_es</v>
      </c>
      <c r="FI39" t="str">
        <f t="shared" si="55"/>
        <v>arts | Rot | L | bullet3_es</v>
      </c>
      <c r="FJ39" t="str">
        <f t="shared" si="55"/>
        <v>arts | Rot | L | bullet4_es</v>
      </c>
      <c r="FK39" t="str">
        <f t="shared" si="55"/>
        <v>arts | Rot | L | bullet5_es</v>
      </c>
      <c r="FL39" t="str">
        <f t="shared" si="55"/>
        <v>arts | Rot | L | seo_title_es</v>
      </c>
      <c r="FM39" t="str">
        <f t="shared" si="55"/>
        <v>arts | Rot | L | seo_description_es</v>
      </c>
      <c r="FN39" t="str">
        <f t="shared" si="55"/>
        <v>arts | Rot | L | seo_keywords_es</v>
      </c>
      <c r="FO39">
        <f t="shared" si="13"/>
        <v>41.99</v>
      </c>
      <c r="FP39">
        <f t="shared" si="7"/>
        <v>44.99</v>
      </c>
      <c r="FQ39">
        <f t="shared" si="8"/>
        <v>39.99</v>
      </c>
    </row>
    <row r="40" spans="1:173" x14ac:dyDescent="0.35">
      <c r="A40" t="s">
        <v>372</v>
      </c>
      <c r="B40" t="str">
        <f t="shared" si="36"/>
        <v>eco-parent2-160526-Rot-XL</v>
      </c>
      <c r="C40" t="s">
        <v>418</v>
      </c>
      <c r="D40" t="s">
        <v>354</v>
      </c>
      <c r="E40">
        <f t="shared" si="37"/>
        <v>2234567906</v>
      </c>
      <c r="F40">
        <f t="shared" si="43"/>
        <v>160</v>
      </c>
      <c r="G40" t="s">
        <v>357</v>
      </c>
      <c r="H40" t="s">
        <v>417</v>
      </c>
      <c r="I40" t="s">
        <v>404</v>
      </c>
      <c r="J40" t="s">
        <v>360</v>
      </c>
      <c r="K40" t="s">
        <v>423</v>
      </c>
      <c r="L40" t="s">
        <v>425</v>
      </c>
      <c r="M40" t="str">
        <f t="shared" si="2"/>
        <v>Tal2</v>
      </c>
      <c r="N40">
        <f t="shared" si="38"/>
        <v>217</v>
      </c>
      <c r="O40">
        <f t="shared" si="10"/>
        <v>34</v>
      </c>
      <c r="P40">
        <f t="shared" ref="P40:Q40" si="58">O40+5</f>
        <v>39</v>
      </c>
      <c r="Q40">
        <f t="shared" si="58"/>
        <v>44</v>
      </c>
      <c r="R40" s="18" t="s">
        <v>440</v>
      </c>
      <c r="S40" s="18" t="s">
        <v>441</v>
      </c>
      <c r="W40" s="18" t="s">
        <v>452</v>
      </c>
      <c r="Y40" t="s">
        <v>377</v>
      </c>
      <c r="AA40" t="s">
        <v>412</v>
      </c>
      <c r="AJ40" t="s">
        <v>364</v>
      </c>
      <c r="AK40">
        <f t="shared" si="40"/>
        <v>227</v>
      </c>
      <c r="AL40">
        <v>1000</v>
      </c>
      <c r="AM40">
        <f t="shared" si="35"/>
        <v>2234583</v>
      </c>
      <c r="AN40">
        <f t="shared" si="35"/>
        <v>22361</v>
      </c>
      <c r="AO40" s="18" t="s">
        <v>454</v>
      </c>
      <c r="AP40" t="s">
        <v>455</v>
      </c>
      <c r="AQ40" s="18" t="s">
        <v>457</v>
      </c>
      <c r="AR40" t="s">
        <v>456</v>
      </c>
      <c r="AY40" t="s">
        <v>458</v>
      </c>
      <c r="AZ40" t="s">
        <v>559</v>
      </c>
      <c r="BA40" t="s">
        <v>613</v>
      </c>
      <c r="BB40" t="s">
        <v>560</v>
      </c>
      <c r="BC40" t="s">
        <v>459</v>
      </c>
      <c r="BD40" t="s">
        <v>561</v>
      </c>
      <c r="DG40" t="str">
        <f t="shared" si="5"/>
        <v>arts | Rot | XL | title_de</v>
      </c>
      <c r="DH40" t="str">
        <f t="shared" si="5"/>
        <v>arts | Rot | XL | description_de</v>
      </c>
      <c r="DI40" t="str">
        <f t="shared" si="5"/>
        <v>arts | Rot | XL | bullet1_de</v>
      </c>
      <c r="DJ40" t="str">
        <f t="shared" si="5"/>
        <v>arts | Rot | XL | bullet2_de</v>
      </c>
      <c r="DK40" t="str">
        <f t="shared" si="5"/>
        <v>arts | Rot | XL | bullet3_de</v>
      </c>
      <c r="DL40" t="str">
        <f t="shared" si="20"/>
        <v>arts | Rot | XL | bullet4_de</v>
      </c>
      <c r="DM40" t="str">
        <f t="shared" si="6"/>
        <v>arts | Rot | XL | bullet5_de</v>
      </c>
      <c r="DN40" t="str">
        <f t="shared" si="6"/>
        <v>arts | Rot | XL | seo_title_de</v>
      </c>
      <c r="DO40" t="str">
        <f t="shared" si="6"/>
        <v>arts | Rot | XL | seo_description_de</v>
      </c>
      <c r="DP40" t="str">
        <f t="shared" si="55"/>
        <v>arts | Rot | XL | seo_keywords_de</v>
      </c>
      <c r="DQ40" t="str">
        <f t="shared" si="55"/>
        <v>arts | Rot | XL | title_en</v>
      </c>
      <c r="DR40" t="str">
        <f t="shared" si="55"/>
        <v>arts | Rot | XL | description_en</v>
      </c>
      <c r="DS40" t="str">
        <f t="shared" si="55"/>
        <v>arts | Rot | XL | bullet1_en</v>
      </c>
      <c r="DT40" t="str">
        <f t="shared" si="55"/>
        <v>arts | Rot | XL | bullet2_en</v>
      </c>
      <c r="DU40" t="str">
        <f t="shared" si="55"/>
        <v>arts | Rot | XL | bullet3_en</v>
      </c>
      <c r="DV40" t="str">
        <f t="shared" si="55"/>
        <v>arts | Rot | XL | bullet4_en</v>
      </c>
      <c r="DW40" t="str">
        <f t="shared" si="55"/>
        <v>arts | Rot | XL | bullet5_en</v>
      </c>
      <c r="DX40" t="str">
        <f t="shared" si="55"/>
        <v>arts | Rot | XL | seo_title_en</v>
      </c>
      <c r="DY40" t="str">
        <f t="shared" si="55"/>
        <v>arts | Rot | XL | seo_description_en</v>
      </c>
      <c r="DZ40" t="str">
        <f t="shared" si="55"/>
        <v>arts | Rot | XL | seo_keywords_en</v>
      </c>
      <c r="EA40" t="str">
        <f t="shared" si="55"/>
        <v>arts | Rot | XL | title_tr</v>
      </c>
      <c r="EB40" t="str">
        <f t="shared" si="55"/>
        <v>arts | Rot | XL | description_tr</v>
      </c>
      <c r="EC40" t="str">
        <f t="shared" si="55"/>
        <v>arts | Rot | XL | bullet1_tr</v>
      </c>
      <c r="ED40" t="str">
        <f t="shared" si="55"/>
        <v>arts | Rot | XL | bullet2_tr</v>
      </c>
      <c r="EE40" t="str">
        <f t="shared" si="55"/>
        <v>arts | Rot | XL | bullet3_tr</v>
      </c>
      <c r="EF40" t="str">
        <f t="shared" si="55"/>
        <v>arts | Rot | XL | bullet4_tr</v>
      </c>
      <c r="EG40" t="str">
        <f t="shared" si="55"/>
        <v>arts | Rot | XL | bullet5_tr</v>
      </c>
      <c r="EH40" t="str">
        <f t="shared" si="55"/>
        <v>arts | Rot | XL | seo_title_tr</v>
      </c>
      <c r="EI40" t="str">
        <f t="shared" si="55"/>
        <v>arts | Rot | XL | seo_description_tr</v>
      </c>
      <c r="EJ40" t="str">
        <f t="shared" si="55"/>
        <v>arts | Rot | XL | seo_keywords_tr</v>
      </c>
      <c r="EK40" t="str">
        <f t="shared" si="55"/>
        <v>arts | Rot | XL | title_fr</v>
      </c>
      <c r="EL40" t="str">
        <f t="shared" si="55"/>
        <v>arts | Rot | XL | description_fr</v>
      </c>
      <c r="EM40" t="str">
        <f t="shared" si="55"/>
        <v>arts | Rot | XL | bullet1_fr</v>
      </c>
      <c r="EN40" t="str">
        <f t="shared" si="55"/>
        <v>arts | Rot | XL | bullet2_fr</v>
      </c>
      <c r="EO40" t="str">
        <f t="shared" si="55"/>
        <v>arts | Rot | XL | bullet3_fr</v>
      </c>
      <c r="EP40" t="str">
        <f t="shared" si="55"/>
        <v>arts | Rot | XL | bullet4_fr</v>
      </c>
      <c r="EQ40" t="str">
        <f t="shared" si="55"/>
        <v>arts | Rot | XL | bullet5_fr</v>
      </c>
      <c r="ER40" t="str">
        <f t="shared" si="55"/>
        <v>arts | Rot | XL | seo_title_fr</v>
      </c>
      <c r="ES40" t="str">
        <f t="shared" si="55"/>
        <v>arts | Rot | XL | seo_description_fr</v>
      </c>
      <c r="ET40" t="str">
        <f t="shared" si="55"/>
        <v>arts | Rot | XL | seo_keywords_fr</v>
      </c>
      <c r="EU40" t="str">
        <f t="shared" si="55"/>
        <v>arts | Rot | XL | title_it</v>
      </c>
      <c r="EV40" t="str">
        <f t="shared" si="55"/>
        <v>arts | Rot | XL | description_it</v>
      </c>
      <c r="EW40" t="str">
        <f t="shared" si="55"/>
        <v>arts | Rot | XL | bullet1_it</v>
      </c>
      <c r="EX40" t="str">
        <f t="shared" si="55"/>
        <v>arts | Rot | XL | bullet2_it</v>
      </c>
      <c r="EY40" t="str">
        <f t="shared" si="55"/>
        <v>arts | Rot | XL | bullet3_it</v>
      </c>
      <c r="EZ40" t="str">
        <f t="shared" si="55"/>
        <v>arts | Rot | XL | bullet4_it</v>
      </c>
      <c r="FA40" t="str">
        <f t="shared" si="55"/>
        <v>arts | Rot | XL | bullet5_it</v>
      </c>
      <c r="FB40" t="str">
        <f t="shared" si="55"/>
        <v>arts | Rot | XL | seo_title_it</v>
      </c>
      <c r="FC40" t="str">
        <f t="shared" si="55"/>
        <v>arts | Rot | XL | seo_description_it</v>
      </c>
      <c r="FD40" t="str">
        <f t="shared" si="55"/>
        <v>arts | Rot | XL | seo_keywords_it</v>
      </c>
      <c r="FE40" t="str">
        <f t="shared" si="55"/>
        <v>arts | Rot | XL | title_es</v>
      </c>
      <c r="FF40" t="str">
        <f t="shared" si="55"/>
        <v>arts | Rot | XL | description_es</v>
      </c>
      <c r="FG40" t="str">
        <f t="shared" si="55"/>
        <v>arts | Rot | XL | bullet1_es</v>
      </c>
      <c r="FH40" t="str">
        <f t="shared" si="55"/>
        <v>arts | Rot | XL | bullet2_es</v>
      </c>
      <c r="FI40" t="str">
        <f t="shared" si="55"/>
        <v>arts | Rot | XL | bullet3_es</v>
      </c>
      <c r="FJ40" t="str">
        <f t="shared" si="55"/>
        <v>arts | Rot | XL | bullet4_es</v>
      </c>
      <c r="FK40" t="str">
        <f t="shared" si="55"/>
        <v>arts | Rot | XL | bullet5_es</v>
      </c>
      <c r="FL40" t="str">
        <f t="shared" si="55"/>
        <v>arts | Rot | XL | seo_title_es</v>
      </c>
      <c r="FM40" t="str">
        <f t="shared" si="55"/>
        <v>arts | Rot | XL | seo_description_es</v>
      </c>
      <c r="FN40" t="str">
        <f t="shared" si="55"/>
        <v>arts | Rot | XL | seo_keywords_es</v>
      </c>
      <c r="FO40">
        <f t="shared" si="13"/>
        <v>42.99</v>
      </c>
      <c r="FP40">
        <f t="shared" si="7"/>
        <v>45.99</v>
      </c>
      <c r="FQ40">
        <f t="shared" si="8"/>
        <v>40.99</v>
      </c>
    </row>
    <row r="41" spans="1:173" x14ac:dyDescent="0.35">
      <c r="A41" t="s">
        <v>352</v>
      </c>
      <c r="B41" t="s">
        <v>420</v>
      </c>
      <c r="D41" t="s">
        <v>354</v>
      </c>
      <c r="E41">
        <v>3234567890</v>
      </c>
      <c r="G41" t="s">
        <v>357</v>
      </c>
      <c r="H41" t="s">
        <v>421</v>
      </c>
      <c r="I41" t="s">
        <v>407</v>
      </c>
      <c r="J41" t="s">
        <v>360</v>
      </c>
      <c r="K41" t="s">
        <v>424</v>
      </c>
      <c r="L41" t="s">
        <v>425</v>
      </c>
      <c r="M41" t="str">
        <f t="shared" si="2"/>
        <v>Ne2</v>
      </c>
      <c r="N41">
        <v>301</v>
      </c>
      <c r="O41">
        <f t="shared" si="10"/>
        <v>35</v>
      </c>
      <c r="P41">
        <f t="shared" ref="P41:Q41" si="59">O41+5</f>
        <v>40</v>
      </c>
      <c r="Q41">
        <f t="shared" si="59"/>
        <v>45</v>
      </c>
      <c r="X41" t="s">
        <v>362</v>
      </c>
      <c r="Z41" t="s">
        <v>363</v>
      </c>
      <c r="AJ41" t="s">
        <v>364</v>
      </c>
      <c r="AK41">
        <v>311</v>
      </c>
      <c r="AL41">
        <v>1000</v>
      </c>
      <c r="AM41">
        <v>3234567</v>
      </c>
      <c r="AN41">
        <v>32345</v>
      </c>
      <c r="AO41" s="18" t="s">
        <v>454</v>
      </c>
      <c r="AP41" t="s">
        <v>455</v>
      </c>
      <c r="AQ41" s="18" t="s">
        <v>457</v>
      </c>
      <c r="AR41" t="s">
        <v>456</v>
      </c>
      <c r="AY41" t="s">
        <v>458</v>
      </c>
      <c r="AZ41" t="s">
        <v>562</v>
      </c>
      <c r="BA41" t="s">
        <v>613</v>
      </c>
      <c r="BB41" t="s">
        <v>563</v>
      </c>
      <c r="BC41" t="s">
        <v>459</v>
      </c>
      <c r="BD41" t="s">
        <v>564</v>
      </c>
      <c r="DG41" t="str">
        <f t="shared" si="5"/>
        <v>automotive |  |  | title_de</v>
      </c>
      <c r="DH41" t="str">
        <f t="shared" si="5"/>
        <v>automotive |  |  | description_de</v>
      </c>
      <c r="DI41" t="str">
        <f t="shared" si="5"/>
        <v>automotive |  |  | bullet1_de</v>
      </c>
      <c r="DJ41" t="str">
        <f t="shared" si="5"/>
        <v>automotive |  |  | bullet2_de</v>
      </c>
      <c r="DK41" t="str">
        <f t="shared" si="5"/>
        <v>automotive |  |  | bullet3_de</v>
      </c>
      <c r="DL41" t="str">
        <f t="shared" si="20"/>
        <v>automotive |  |  | bullet4_de</v>
      </c>
      <c r="DM41" t="str">
        <f t="shared" si="6"/>
        <v>automotive |  |  | bullet5_de</v>
      </c>
      <c r="DN41" t="str">
        <f t="shared" si="6"/>
        <v>automotive |  |  | seo_title_de</v>
      </c>
      <c r="DO41" t="str">
        <f t="shared" si="6"/>
        <v>automotive |  |  | seo_description_de</v>
      </c>
      <c r="DP41" t="str">
        <f t="shared" si="55"/>
        <v>automotive |  |  | seo_keywords_de</v>
      </c>
      <c r="DQ41" t="str">
        <f t="shared" si="55"/>
        <v>automotive |  |  | title_en</v>
      </c>
      <c r="DR41" t="str">
        <f t="shared" si="55"/>
        <v>automotive |  |  | description_en</v>
      </c>
      <c r="DS41" t="str">
        <f t="shared" si="55"/>
        <v>automotive |  |  | bullet1_en</v>
      </c>
      <c r="DT41" t="str">
        <f t="shared" si="55"/>
        <v>automotive |  |  | bullet2_en</v>
      </c>
      <c r="DU41" t="str">
        <f t="shared" si="55"/>
        <v>automotive |  |  | bullet3_en</v>
      </c>
      <c r="DV41" t="str">
        <f t="shared" si="55"/>
        <v>automotive |  |  | bullet4_en</v>
      </c>
      <c r="DW41" t="str">
        <f t="shared" si="55"/>
        <v>automotive |  |  | bullet5_en</v>
      </c>
      <c r="DX41" t="str">
        <f t="shared" si="55"/>
        <v>automotive |  |  | seo_title_en</v>
      </c>
      <c r="DY41" t="str">
        <f t="shared" si="55"/>
        <v>automotive |  |  | seo_description_en</v>
      </c>
      <c r="DZ41" t="str">
        <f t="shared" si="55"/>
        <v>automotive |  |  | seo_keywords_en</v>
      </c>
      <c r="EA41" t="str">
        <f t="shared" si="55"/>
        <v>automotive |  |  | title_tr</v>
      </c>
      <c r="EB41" t="str">
        <f t="shared" si="55"/>
        <v>automotive |  |  | description_tr</v>
      </c>
      <c r="EC41" t="str">
        <f t="shared" si="55"/>
        <v>automotive |  |  | bullet1_tr</v>
      </c>
      <c r="ED41" t="str">
        <f t="shared" si="55"/>
        <v>automotive |  |  | bullet2_tr</v>
      </c>
      <c r="EE41" t="str">
        <f t="shared" si="55"/>
        <v>automotive |  |  | bullet3_tr</v>
      </c>
      <c r="EF41" t="str">
        <f t="shared" si="55"/>
        <v>automotive |  |  | bullet4_tr</v>
      </c>
      <c r="EG41" t="str">
        <f t="shared" si="55"/>
        <v>automotive |  |  | bullet5_tr</v>
      </c>
      <c r="EH41" t="str">
        <f t="shared" si="55"/>
        <v>automotive |  |  | seo_title_tr</v>
      </c>
      <c r="EI41" t="str">
        <f t="shared" si="55"/>
        <v>automotive |  |  | seo_description_tr</v>
      </c>
      <c r="EJ41" t="str">
        <f t="shared" si="55"/>
        <v>automotive |  |  | seo_keywords_tr</v>
      </c>
      <c r="EK41" t="str">
        <f t="shared" si="55"/>
        <v>automotive |  |  | title_fr</v>
      </c>
      <c r="EL41" t="str">
        <f t="shared" si="55"/>
        <v>automotive |  |  | description_fr</v>
      </c>
      <c r="EM41" t="str">
        <f t="shared" si="55"/>
        <v>automotive |  |  | bullet1_fr</v>
      </c>
      <c r="EN41" t="str">
        <f t="shared" si="55"/>
        <v>automotive |  |  | bullet2_fr</v>
      </c>
      <c r="EO41" t="str">
        <f t="shared" si="55"/>
        <v>automotive |  |  | bullet3_fr</v>
      </c>
      <c r="EP41" t="str">
        <f t="shared" si="55"/>
        <v>automotive |  |  | bullet4_fr</v>
      </c>
      <c r="EQ41" t="str">
        <f t="shared" si="55"/>
        <v>automotive |  |  | bullet5_fr</v>
      </c>
      <c r="ER41" t="str">
        <f t="shared" si="55"/>
        <v>automotive |  |  | seo_title_fr</v>
      </c>
      <c r="ES41" t="str">
        <f t="shared" si="55"/>
        <v>automotive |  |  | seo_description_fr</v>
      </c>
      <c r="ET41" t="str">
        <f t="shared" si="55"/>
        <v>automotive |  |  | seo_keywords_fr</v>
      </c>
      <c r="EU41" t="str">
        <f t="shared" si="55"/>
        <v>automotive |  |  | title_it</v>
      </c>
      <c r="EV41" t="str">
        <f t="shared" si="55"/>
        <v>automotive |  |  | description_it</v>
      </c>
      <c r="EW41" t="str">
        <f t="shared" si="55"/>
        <v>automotive |  |  | bullet1_it</v>
      </c>
      <c r="EX41" t="str">
        <f t="shared" si="55"/>
        <v>automotive |  |  | bullet2_it</v>
      </c>
      <c r="EY41" t="str">
        <f t="shared" si="55"/>
        <v>automotive |  |  | bullet3_it</v>
      </c>
      <c r="EZ41" t="str">
        <f t="shared" si="55"/>
        <v>automotive |  |  | bullet4_it</v>
      </c>
      <c r="FA41" t="str">
        <f t="shared" si="55"/>
        <v>automotive |  |  | bullet5_it</v>
      </c>
      <c r="FB41" t="str">
        <f t="shared" si="55"/>
        <v>automotive |  |  | seo_title_it</v>
      </c>
      <c r="FC41" t="str">
        <f t="shared" si="55"/>
        <v>automotive |  |  | seo_description_it</v>
      </c>
      <c r="FD41" t="str">
        <f t="shared" si="55"/>
        <v>automotive |  |  | seo_keywords_it</v>
      </c>
      <c r="FE41" t="str">
        <f t="shared" si="55"/>
        <v>automotive |  |  | title_es</v>
      </c>
      <c r="FF41" t="str">
        <f t="shared" si="55"/>
        <v>automotive |  |  | description_es</v>
      </c>
      <c r="FG41" t="str">
        <f t="shared" si="55"/>
        <v>automotive |  |  | bullet1_es</v>
      </c>
      <c r="FH41" t="str">
        <f t="shared" si="55"/>
        <v>automotive |  |  | bullet2_es</v>
      </c>
      <c r="FI41" t="str">
        <f t="shared" si="55"/>
        <v>automotive |  |  | bullet3_es</v>
      </c>
      <c r="FJ41" t="str">
        <f t="shared" si="55"/>
        <v>automotive |  |  | bullet4_es</v>
      </c>
      <c r="FK41" t="str">
        <f t="shared" si="55"/>
        <v>automotive |  |  | bullet5_es</v>
      </c>
      <c r="FL41" t="str">
        <f t="shared" si="55"/>
        <v>automotive |  |  | seo_title_es</v>
      </c>
      <c r="FM41" t="str">
        <f t="shared" si="55"/>
        <v>automotive |  |  | seo_description_es</v>
      </c>
      <c r="FN41" t="str">
        <f t="shared" si="55"/>
        <v>automotive |  |  | seo_keywords_es</v>
      </c>
      <c r="FO41">
        <f t="shared" si="13"/>
        <v>43.99</v>
      </c>
      <c r="FP41">
        <f t="shared" si="7"/>
        <v>46.99</v>
      </c>
      <c r="FQ41">
        <f t="shared" si="8"/>
        <v>41.99</v>
      </c>
    </row>
    <row r="42" spans="1:173" x14ac:dyDescent="0.35">
      <c r="A42" t="s">
        <v>372</v>
      </c>
      <c r="B42" t="str">
        <f>"eco-parent3-160526-"&amp;Y42&amp;"-"&amp;AA42</f>
        <v>eco-parent3-160526-Schwarz-S</v>
      </c>
      <c r="C42" t="s">
        <v>420</v>
      </c>
      <c r="D42" t="s">
        <v>354</v>
      </c>
      <c r="E42">
        <f>E41+1</f>
        <v>3234567891</v>
      </c>
      <c r="F42">
        <v>10</v>
      </c>
      <c r="G42" t="s">
        <v>357</v>
      </c>
      <c r="H42" t="s">
        <v>421</v>
      </c>
      <c r="I42" t="s">
        <v>407</v>
      </c>
      <c r="J42" t="s">
        <v>360</v>
      </c>
      <c r="K42" t="s">
        <v>424</v>
      </c>
      <c r="L42" t="s">
        <v>425</v>
      </c>
      <c r="M42" t="str">
        <f t="shared" si="2"/>
        <v>Ne2</v>
      </c>
      <c r="N42">
        <f>N41+1</f>
        <v>302</v>
      </c>
      <c r="O42">
        <f t="shared" si="10"/>
        <v>36</v>
      </c>
      <c r="P42">
        <f t="shared" ref="P42:Q42" si="60">O42+5</f>
        <v>41</v>
      </c>
      <c r="Q42">
        <f t="shared" si="60"/>
        <v>46</v>
      </c>
      <c r="R42" s="18" t="s">
        <v>442</v>
      </c>
      <c r="S42" s="18" t="s">
        <v>443</v>
      </c>
      <c r="W42" s="18" t="s">
        <v>451</v>
      </c>
      <c r="Y42" t="s">
        <v>413</v>
      </c>
      <c r="AA42" t="s">
        <v>378</v>
      </c>
      <c r="AJ42" t="s">
        <v>364</v>
      </c>
      <c r="AK42">
        <f>AK41+1</f>
        <v>312</v>
      </c>
      <c r="AL42">
        <v>1000</v>
      </c>
      <c r="AM42">
        <f>AM41+1</f>
        <v>3234568</v>
      </c>
      <c r="AN42">
        <f t="shared" si="35"/>
        <v>32346</v>
      </c>
      <c r="AO42" s="18" t="s">
        <v>454</v>
      </c>
      <c r="AP42" t="s">
        <v>455</v>
      </c>
      <c r="AQ42" s="18" t="s">
        <v>457</v>
      </c>
      <c r="AR42" t="s">
        <v>456</v>
      </c>
      <c r="AY42" t="s">
        <v>458</v>
      </c>
      <c r="AZ42" t="s">
        <v>565</v>
      </c>
      <c r="BA42" t="s">
        <v>613</v>
      </c>
      <c r="BB42" t="s">
        <v>566</v>
      </c>
      <c r="BC42" t="s">
        <v>459</v>
      </c>
      <c r="BD42" t="s">
        <v>567</v>
      </c>
      <c r="DG42" t="str">
        <f t="shared" si="5"/>
        <v>automotive | Schwarz | S | title_de</v>
      </c>
      <c r="DH42" t="str">
        <f t="shared" si="5"/>
        <v>automotive | Schwarz | S | description_de</v>
      </c>
      <c r="DI42" t="str">
        <f t="shared" si="5"/>
        <v>automotive | Schwarz | S | bullet1_de</v>
      </c>
      <c r="DJ42" t="str">
        <f t="shared" si="5"/>
        <v>automotive | Schwarz | S | bullet2_de</v>
      </c>
      <c r="DK42" t="str">
        <f t="shared" si="5"/>
        <v>automotive | Schwarz | S | bullet3_de</v>
      </c>
      <c r="DL42" t="str">
        <f t="shared" si="20"/>
        <v>automotive | Schwarz | S | bullet4_de</v>
      </c>
      <c r="DM42" t="str">
        <f t="shared" si="6"/>
        <v>automotive | Schwarz | S | bullet5_de</v>
      </c>
      <c r="DN42" t="str">
        <f t="shared" si="6"/>
        <v>automotive | Schwarz | S | seo_title_de</v>
      </c>
      <c r="DO42" t="str">
        <f t="shared" si="6"/>
        <v>automotive | Schwarz | S | seo_description_de</v>
      </c>
      <c r="DP42" t="str">
        <f t="shared" si="55"/>
        <v>automotive | Schwarz | S | seo_keywords_de</v>
      </c>
      <c r="DQ42" t="str">
        <f t="shared" si="55"/>
        <v>automotive | Schwarz | S | title_en</v>
      </c>
      <c r="DR42" t="str">
        <f t="shared" si="55"/>
        <v>automotive | Schwarz | S | description_en</v>
      </c>
      <c r="DS42" t="str">
        <f t="shared" si="55"/>
        <v>automotive | Schwarz | S | bullet1_en</v>
      </c>
      <c r="DT42" t="str">
        <f t="shared" si="55"/>
        <v>automotive | Schwarz | S | bullet2_en</v>
      </c>
      <c r="DU42" t="str">
        <f t="shared" si="55"/>
        <v>automotive | Schwarz | S | bullet3_en</v>
      </c>
      <c r="DV42" t="str">
        <f t="shared" si="55"/>
        <v>automotive | Schwarz | S | bullet4_en</v>
      </c>
      <c r="DW42" t="str">
        <f t="shared" si="55"/>
        <v>automotive | Schwarz | S | bullet5_en</v>
      </c>
      <c r="DX42" t="str">
        <f t="shared" si="55"/>
        <v>automotive | Schwarz | S | seo_title_en</v>
      </c>
      <c r="DY42" t="str">
        <f t="shared" si="55"/>
        <v>automotive | Schwarz | S | seo_description_en</v>
      </c>
      <c r="DZ42" t="str">
        <f t="shared" si="55"/>
        <v>automotive | Schwarz | S | seo_keywords_en</v>
      </c>
      <c r="EA42" t="str">
        <f t="shared" si="55"/>
        <v>automotive | Schwarz | S | title_tr</v>
      </c>
      <c r="EB42" t="str">
        <f t="shared" si="55"/>
        <v>automotive | Schwarz | S | description_tr</v>
      </c>
      <c r="EC42" t="str">
        <f t="shared" ref="DP42:FN47" si="61">MID($I42,1,FIND("-",$I42,1)-1)&amp;" | "&amp;$Y42&amp;" | "&amp;$AA42&amp;" | "&amp;EC$2</f>
        <v>automotive | Schwarz | S | bullet1_tr</v>
      </c>
      <c r="ED42" t="str">
        <f t="shared" si="61"/>
        <v>automotive | Schwarz | S | bullet2_tr</v>
      </c>
      <c r="EE42" t="str">
        <f t="shared" si="61"/>
        <v>automotive | Schwarz | S | bullet3_tr</v>
      </c>
      <c r="EF42" t="str">
        <f t="shared" si="61"/>
        <v>automotive | Schwarz | S | bullet4_tr</v>
      </c>
      <c r="EG42" t="str">
        <f t="shared" si="61"/>
        <v>automotive | Schwarz | S | bullet5_tr</v>
      </c>
      <c r="EH42" t="str">
        <f t="shared" si="61"/>
        <v>automotive | Schwarz | S | seo_title_tr</v>
      </c>
      <c r="EI42" t="str">
        <f t="shared" si="61"/>
        <v>automotive | Schwarz | S | seo_description_tr</v>
      </c>
      <c r="EJ42" t="str">
        <f t="shared" si="61"/>
        <v>automotive | Schwarz | S | seo_keywords_tr</v>
      </c>
      <c r="EK42" t="str">
        <f t="shared" si="61"/>
        <v>automotive | Schwarz | S | title_fr</v>
      </c>
      <c r="EL42" t="str">
        <f t="shared" si="61"/>
        <v>automotive | Schwarz | S | description_fr</v>
      </c>
      <c r="EM42" t="str">
        <f t="shared" si="61"/>
        <v>automotive | Schwarz | S | bullet1_fr</v>
      </c>
      <c r="EN42" t="str">
        <f t="shared" si="61"/>
        <v>automotive | Schwarz | S | bullet2_fr</v>
      </c>
      <c r="EO42" t="str">
        <f t="shared" si="61"/>
        <v>automotive | Schwarz | S | bullet3_fr</v>
      </c>
      <c r="EP42" t="str">
        <f t="shared" si="61"/>
        <v>automotive | Schwarz | S | bullet4_fr</v>
      </c>
      <c r="EQ42" t="str">
        <f t="shared" si="61"/>
        <v>automotive | Schwarz | S | bullet5_fr</v>
      </c>
      <c r="ER42" t="str">
        <f t="shared" si="61"/>
        <v>automotive | Schwarz | S | seo_title_fr</v>
      </c>
      <c r="ES42" t="str">
        <f t="shared" si="61"/>
        <v>automotive | Schwarz | S | seo_description_fr</v>
      </c>
      <c r="ET42" t="str">
        <f t="shared" si="61"/>
        <v>automotive | Schwarz | S | seo_keywords_fr</v>
      </c>
      <c r="EU42" t="str">
        <f t="shared" si="61"/>
        <v>automotive | Schwarz | S | title_it</v>
      </c>
      <c r="EV42" t="str">
        <f t="shared" si="61"/>
        <v>automotive | Schwarz | S | description_it</v>
      </c>
      <c r="EW42" t="str">
        <f t="shared" si="61"/>
        <v>automotive | Schwarz | S | bullet1_it</v>
      </c>
      <c r="EX42" t="str">
        <f t="shared" si="61"/>
        <v>automotive | Schwarz | S | bullet2_it</v>
      </c>
      <c r="EY42" t="str">
        <f t="shared" si="61"/>
        <v>automotive | Schwarz | S | bullet3_it</v>
      </c>
      <c r="EZ42" t="str">
        <f t="shared" si="61"/>
        <v>automotive | Schwarz | S | bullet4_it</v>
      </c>
      <c r="FA42" t="str">
        <f t="shared" si="61"/>
        <v>automotive | Schwarz | S | bullet5_it</v>
      </c>
      <c r="FB42" t="str">
        <f t="shared" si="61"/>
        <v>automotive | Schwarz | S | seo_title_it</v>
      </c>
      <c r="FC42" t="str">
        <f t="shared" si="61"/>
        <v>automotive | Schwarz | S | seo_description_it</v>
      </c>
      <c r="FD42" t="str">
        <f t="shared" si="61"/>
        <v>automotive | Schwarz | S | seo_keywords_it</v>
      </c>
      <c r="FE42" t="str">
        <f t="shared" si="61"/>
        <v>automotive | Schwarz | S | title_es</v>
      </c>
      <c r="FF42" t="str">
        <f t="shared" si="61"/>
        <v>automotive | Schwarz | S | description_es</v>
      </c>
      <c r="FG42" t="str">
        <f t="shared" si="61"/>
        <v>automotive | Schwarz | S | bullet1_es</v>
      </c>
      <c r="FH42" t="str">
        <f t="shared" si="61"/>
        <v>automotive | Schwarz | S | bullet2_es</v>
      </c>
      <c r="FI42" t="str">
        <f t="shared" si="61"/>
        <v>automotive | Schwarz | S | bullet3_es</v>
      </c>
      <c r="FJ42" t="str">
        <f t="shared" si="61"/>
        <v>automotive | Schwarz | S | bullet4_es</v>
      </c>
      <c r="FK42" t="str">
        <f t="shared" si="61"/>
        <v>automotive | Schwarz | S | bullet5_es</v>
      </c>
      <c r="FL42" t="str">
        <f t="shared" si="61"/>
        <v>automotive | Schwarz | S | seo_title_es</v>
      </c>
      <c r="FM42" t="str">
        <f t="shared" si="61"/>
        <v>automotive | Schwarz | S | seo_description_es</v>
      </c>
      <c r="FN42" t="str">
        <f t="shared" si="61"/>
        <v>automotive | Schwarz | S | seo_keywords_es</v>
      </c>
      <c r="FO42">
        <f t="shared" si="13"/>
        <v>44.99</v>
      </c>
      <c r="FP42">
        <f t="shared" si="7"/>
        <v>47.99</v>
      </c>
      <c r="FQ42">
        <f t="shared" si="8"/>
        <v>42.99</v>
      </c>
    </row>
    <row r="43" spans="1:173" x14ac:dyDescent="0.35">
      <c r="A43" t="s">
        <v>372</v>
      </c>
      <c r="B43" t="str">
        <f t="shared" ref="B43:B57" si="62">"eco-parent3-160526-"&amp;Y43&amp;"-"&amp;AA43</f>
        <v>eco-parent3-160526-Schwarz-M</v>
      </c>
      <c r="C43" t="s">
        <v>420</v>
      </c>
      <c r="D43" t="s">
        <v>354</v>
      </c>
      <c r="E43">
        <f t="shared" ref="E43:E57" si="63">E42+1</f>
        <v>3234567892</v>
      </c>
      <c r="F43">
        <v>20</v>
      </c>
      <c r="G43" t="s">
        <v>357</v>
      </c>
      <c r="H43" t="s">
        <v>421</v>
      </c>
      <c r="I43" t="s">
        <v>407</v>
      </c>
      <c r="J43" t="s">
        <v>360</v>
      </c>
      <c r="K43" t="s">
        <v>424</v>
      </c>
      <c r="L43" t="s">
        <v>425</v>
      </c>
      <c r="M43" t="str">
        <f t="shared" si="2"/>
        <v>Ne2</v>
      </c>
      <c r="N43">
        <f t="shared" ref="N43:N57" si="64">N42+1</f>
        <v>303</v>
      </c>
      <c r="O43">
        <f t="shared" si="10"/>
        <v>37</v>
      </c>
      <c r="P43">
        <f t="shared" ref="P43:Q43" si="65">O43+5</f>
        <v>42</v>
      </c>
      <c r="Q43">
        <f t="shared" si="65"/>
        <v>47</v>
      </c>
      <c r="R43" s="18" t="s">
        <v>442</v>
      </c>
      <c r="S43" s="18" t="s">
        <v>443</v>
      </c>
      <c r="W43" s="18" t="s">
        <v>451</v>
      </c>
      <c r="Y43" t="s">
        <v>413</v>
      </c>
      <c r="AA43" t="s">
        <v>381</v>
      </c>
      <c r="AJ43" t="s">
        <v>364</v>
      </c>
      <c r="AK43">
        <f t="shared" ref="AK43:AK57" si="66">AK42+1</f>
        <v>313</v>
      </c>
      <c r="AL43">
        <v>1000</v>
      </c>
      <c r="AM43">
        <f t="shared" ref="AM43:AN57" si="67">AM42+1</f>
        <v>3234569</v>
      </c>
      <c r="AN43">
        <f t="shared" si="67"/>
        <v>32347</v>
      </c>
      <c r="AO43" s="18" t="s">
        <v>454</v>
      </c>
      <c r="AP43" t="s">
        <v>455</v>
      </c>
      <c r="AQ43" s="18" t="s">
        <v>457</v>
      </c>
      <c r="AR43" t="s">
        <v>456</v>
      </c>
      <c r="AY43" t="s">
        <v>458</v>
      </c>
      <c r="AZ43" t="s">
        <v>568</v>
      </c>
      <c r="BA43" t="s">
        <v>613</v>
      </c>
      <c r="BB43" t="s">
        <v>569</v>
      </c>
      <c r="BC43" t="s">
        <v>459</v>
      </c>
      <c r="BD43" t="s">
        <v>570</v>
      </c>
      <c r="DG43" t="str">
        <f t="shared" si="5"/>
        <v>automotive | Schwarz | M | title_de</v>
      </c>
      <c r="DH43" t="str">
        <f t="shared" si="5"/>
        <v>automotive | Schwarz | M | description_de</v>
      </c>
      <c r="DI43" t="str">
        <f t="shared" si="5"/>
        <v>automotive | Schwarz | M | bullet1_de</v>
      </c>
      <c r="DJ43" t="str">
        <f t="shared" si="5"/>
        <v>automotive | Schwarz | M | bullet2_de</v>
      </c>
      <c r="DK43" t="str">
        <f t="shared" si="5"/>
        <v>automotive | Schwarz | M | bullet3_de</v>
      </c>
      <c r="DL43" t="str">
        <f t="shared" si="20"/>
        <v>automotive | Schwarz | M | bullet4_de</v>
      </c>
      <c r="DM43" t="str">
        <f t="shared" si="6"/>
        <v>automotive | Schwarz | M | bullet5_de</v>
      </c>
      <c r="DN43" t="str">
        <f t="shared" si="6"/>
        <v>automotive | Schwarz | M | seo_title_de</v>
      </c>
      <c r="DO43" t="str">
        <f t="shared" si="6"/>
        <v>automotive | Schwarz | M | seo_description_de</v>
      </c>
      <c r="DP43" t="str">
        <f t="shared" si="61"/>
        <v>automotive | Schwarz | M | seo_keywords_de</v>
      </c>
      <c r="DQ43" t="str">
        <f t="shared" si="61"/>
        <v>automotive | Schwarz | M | title_en</v>
      </c>
      <c r="DR43" t="str">
        <f t="shared" si="61"/>
        <v>automotive | Schwarz | M | description_en</v>
      </c>
      <c r="DS43" t="str">
        <f t="shared" si="61"/>
        <v>automotive | Schwarz | M | bullet1_en</v>
      </c>
      <c r="DT43" t="str">
        <f t="shared" si="61"/>
        <v>automotive | Schwarz | M | bullet2_en</v>
      </c>
      <c r="DU43" t="str">
        <f t="shared" si="61"/>
        <v>automotive | Schwarz | M | bullet3_en</v>
      </c>
      <c r="DV43" t="str">
        <f t="shared" si="61"/>
        <v>automotive | Schwarz | M | bullet4_en</v>
      </c>
      <c r="DW43" t="str">
        <f t="shared" si="61"/>
        <v>automotive | Schwarz | M | bullet5_en</v>
      </c>
      <c r="DX43" t="str">
        <f t="shared" si="61"/>
        <v>automotive | Schwarz | M | seo_title_en</v>
      </c>
      <c r="DY43" t="str">
        <f t="shared" si="61"/>
        <v>automotive | Schwarz | M | seo_description_en</v>
      </c>
      <c r="DZ43" t="str">
        <f t="shared" si="61"/>
        <v>automotive | Schwarz | M | seo_keywords_en</v>
      </c>
      <c r="EA43" t="str">
        <f t="shared" si="61"/>
        <v>automotive | Schwarz | M | title_tr</v>
      </c>
      <c r="EB43" t="str">
        <f t="shared" si="61"/>
        <v>automotive | Schwarz | M | description_tr</v>
      </c>
      <c r="EC43" t="str">
        <f t="shared" si="61"/>
        <v>automotive | Schwarz | M | bullet1_tr</v>
      </c>
      <c r="ED43" t="str">
        <f t="shared" si="61"/>
        <v>automotive | Schwarz | M | bullet2_tr</v>
      </c>
      <c r="EE43" t="str">
        <f t="shared" si="61"/>
        <v>automotive | Schwarz | M | bullet3_tr</v>
      </c>
      <c r="EF43" t="str">
        <f t="shared" si="61"/>
        <v>automotive | Schwarz | M | bullet4_tr</v>
      </c>
      <c r="EG43" t="str">
        <f t="shared" si="61"/>
        <v>automotive | Schwarz | M | bullet5_tr</v>
      </c>
      <c r="EH43" t="str">
        <f t="shared" si="61"/>
        <v>automotive | Schwarz | M | seo_title_tr</v>
      </c>
      <c r="EI43" t="str">
        <f t="shared" si="61"/>
        <v>automotive | Schwarz | M | seo_description_tr</v>
      </c>
      <c r="EJ43" t="str">
        <f t="shared" si="61"/>
        <v>automotive | Schwarz | M | seo_keywords_tr</v>
      </c>
      <c r="EK43" t="str">
        <f t="shared" si="61"/>
        <v>automotive | Schwarz | M | title_fr</v>
      </c>
      <c r="EL43" t="str">
        <f t="shared" si="61"/>
        <v>automotive | Schwarz | M | description_fr</v>
      </c>
      <c r="EM43" t="str">
        <f t="shared" si="61"/>
        <v>automotive | Schwarz | M | bullet1_fr</v>
      </c>
      <c r="EN43" t="str">
        <f t="shared" si="61"/>
        <v>automotive | Schwarz | M | bullet2_fr</v>
      </c>
      <c r="EO43" t="str">
        <f t="shared" si="61"/>
        <v>automotive | Schwarz | M | bullet3_fr</v>
      </c>
      <c r="EP43" t="str">
        <f t="shared" si="61"/>
        <v>automotive | Schwarz | M | bullet4_fr</v>
      </c>
      <c r="EQ43" t="str">
        <f t="shared" si="61"/>
        <v>automotive | Schwarz | M | bullet5_fr</v>
      </c>
      <c r="ER43" t="str">
        <f t="shared" si="61"/>
        <v>automotive | Schwarz | M | seo_title_fr</v>
      </c>
      <c r="ES43" t="str">
        <f t="shared" si="61"/>
        <v>automotive | Schwarz | M | seo_description_fr</v>
      </c>
      <c r="ET43" t="str">
        <f t="shared" si="61"/>
        <v>automotive | Schwarz | M | seo_keywords_fr</v>
      </c>
      <c r="EU43" t="str">
        <f t="shared" si="61"/>
        <v>automotive | Schwarz | M | title_it</v>
      </c>
      <c r="EV43" t="str">
        <f t="shared" si="61"/>
        <v>automotive | Schwarz | M | description_it</v>
      </c>
      <c r="EW43" t="str">
        <f t="shared" si="61"/>
        <v>automotive | Schwarz | M | bullet1_it</v>
      </c>
      <c r="EX43" t="str">
        <f t="shared" si="61"/>
        <v>automotive | Schwarz | M | bullet2_it</v>
      </c>
      <c r="EY43" t="str">
        <f t="shared" si="61"/>
        <v>automotive | Schwarz | M | bullet3_it</v>
      </c>
      <c r="EZ43" t="str">
        <f t="shared" si="61"/>
        <v>automotive | Schwarz | M | bullet4_it</v>
      </c>
      <c r="FA43" t="str">
        <f t="shared" si="61"/>
        <v>automotive | Schwarz | M | bullet5_it</v>
      </c>
      <c r="FB43" t="str">
        <f t="shared" si="61"/>
        <v>automotive | Schwarz | M | seo_title_it</v>
      </c>
      <c r="FC43" t="str">
        <f t="shared" si="61"/>
        <v>automotive | Schwarz | M | seo_description_it</v>
      </c>
      <c r="FD43" t="str">
        <f t="shared" si="61"/>
        <v>automotive | Schwarz | M | seo_keywords_it</v>
      </c>
      <c r="FE43" t="str">
        <f t="shared" si="61"/>
        <v>automotive | Schwarz | M | title_es</v>
      </c>
      <c r="FF43" t="str">
        <f t="shared" si="61"/>
        <v>automotive | Schwarz | M | description_es</v>
      </c>
      <c r="FG43" t="str">
        <f t="shared" si="61"/>
        <v>automotive | Schwarz | M | bullet1_es</v>
      </c>
      <c r="FH43" t="str">
        <f t="shared" si="61"/>
        <v>automotive | Schwarz | M | bullet2_es</v>
      </c>
      <c r="FI43" t="str">
        <f t="shared" si="61"/>
        <v>automotive | Schwarz | M | bullet3_es</v>
      </c>
      <c r="FJ43" t="str">
        <f t="shared" si="61"/>
        <v>automotive | Schwarz | M | bullet4_es</v>
      </c>
      <c r="FK43" t="str">
        <f t="shared" si="61"/>
        <v>automotive | Schwarz | M | bullet5_es</v>
      </c>
      <c r="FL43" t="str">
        <f t="shared" si="61"/>
        <v>automotive | Schwarz | M | seo_title_es</v>
      </c>
      <c r="FM43" t="str">
        <f t="shared" si="61"/>
        <v>automotive | Schwarz | M | seo_description_es</v>
      </c>
      <c r="FN43" t="str">
        <f t="shared" si="61"/>
        <v>automotive | Schwarz | M | seo_keywords_es</v>
      </c>
      <c r="FO43">
        <f t="shared" si="13"/>
        <v>45.99</v>
      </c>
      <c r="FP43">
        <f t="shared" si="7"/>
        <v>48.99</v>
      </c>
      <c r="FQ43">
        <f t="shared" si="8"/>
        <v>43.99</v>
      </c>
    </row>
    <row r="44" spans="1:173" x14ac:dyDescent="0.35">
      <c r="A44" t="s">
        <v>372</v>
      </c>
      <c r="B44" t="str">
        <f t="shared" si="62"/>
        <v>eco-parent3-160526-Schwarz-L</v>
      </c>
      <c r="C44" t="s">
        <v>420</v>
      </c>
      <c r="D44" t="s">
        <v>354</v>
      </c>
      <c r="E44">
        <f t="shared" si="63"/>
        <v>3234567893</v>
      </c>
      <c r="F44">
        <f>F43+10</f>
        <v>30</v>
      </c>
      <c r="G44" t="s">
        <v>357</v>
      </c>
      <c r="H44" t="s">
        <v>421</v>
      </c>
      <c r="I44" t="s">
        <v>407</v>
      </c>
      <c r="J44" t="s">
        <v>360</v>
      </c>
      <c r="K44" t="s">
        <v>424</v>
      </c>
      <c r="L44" t="s">
        <v>425</v>
      </c>
      <c r="M44" t="str">
        <f t="shared" si="2"/>
        <v>Ne2</v>
      </c>
      <c r="N44">
        <f t="shared" si="64"/>
        <v>304</v>
      </c>
      <c r="O44">
        <f t="shared" si="10"/>
        <v>38</v>
      </c>
      <c r="P44">
        <f t="shared" ref="P44:Q44" si="68">O44+5</f>
        <v>43</v>
      </c>
      <c r="Q44">
        <f t="shared" si="68"/>
        <v>48</v>
      </c>
      <c r="R44" s="18" t="s">
        <v>442</v>
      </c>
      <c r="S44" s="18" t="s">
        <v>443</v>
      </c>
      <c r="W44" s="18" t="s">
        <v>451</v>
      </c>
      <c r="Y44" t="s">
        <v>413</v>
      </c>
      <c r="AA44" t="s">
        <v>406</v>
      </c>
      <c r="AJ44" t="s">
        <v>364</v>
      </c>
      <c r="AK44">
        <f t="shared" si="66"/>
        <v>314</v>
      </c>
      <c r="AL44">
        <v>1000</v>
      </c>
      <c r="AM44">
        <f t="shared" si="67"/>
        <v>3234570</v>
      </c>
      <c r="AN44">
        <f t="shared" si="67"/>
        <v>32348</v>
      </c>
      <c r="AO44" s="18" t="s">
        <v>454</v>
      </c>
      <c r="AP44" t="s">
        <v>455</v>
      </c>
      <c r="AQ44" s="18" t="s">
        <v>457</v>
      </c>
      <c r="AR44" t="s">
        <v>456</v>
      </c>
      <c r="AY44" t="s">
        <v>458</v>
      </c>
      <c r="AZ44" t="s">
        <v>571</v>
      </c>
      <c r="BA44" t="s">
        <v>613</v>
      </c>
      <c r="BB44" t="s">
        <v>572</v>
      </c>
      <c r="BC44" t="s">
        <v>459</v>
      </c>
      <c r="BD44" t="s">
        <v>573</v>
      </c>
      <c r="DG44" t="str">
        <f t="shared" si="5"/>
        <v>automotive | Schwarz | L | title_de</v>
      </c>
      <c r="DH44" t="str">
        <f t="shared" si="5"/>
        <v>automotive | Schwarz | L | description_de</v>
      </c>
      <c r="DI44" t="str">
        <f t="shared" si="5"/>
        <v>automotive | Schwarz | L | bullet1_de</v>
      </c>
      <c r="DJ44" t="str">
        <f t="shared" si="5"/>
        <v>automotive | Schwarz | L | bullet2_de</v>
      </c>
      <c r="DK44" t="str">
        <f t="shared" si="5"/>
        <v>automotive | Schwarz | L | bullet3_de</v>
      </c>
      <c r="DL44" t="str">
        <f t="shared" si="20"/>
        <v>automotive | Schwarz | L | bullet4_de</v>
      </c>
      <c r="DM44" t="str">
        <f t="shared" si="6"/>
        <v>automotive | Schwarz | L | bullet5_de</v>
      </c>
      <c r="DN44" t="str">
        <f t="shared" si="6"/>
        <v>automotive | Schwarz | L | seo_title_de</v>
      </c>
      <c r="DO44" t="str">
        <f t="shared" si="6"/>
        <v>automotive | Schwarz | L | seo_description_de</v>
      </c>
      <c r="DP44" t="str">
        <f t="shared" si="61"/>
        <v>automotive | Schwarz | L | seo_keywords_de</v>
      </c>
      <c r="DQ44" t="str">
        <f t="shared" si="61"/>
        <v>automotive | Schwarz | L | title_en</v>
      </c>
      <c r="DR44" t="str">
        <f t="shared" si="61"/>
        <v>automotive | Schwarz | L | description_en</v>
      </c>
      <c r="DS44" t="str">
        <f t="shared" si="61"/>
        <v>automotive | Schwarz | L | bullet1_en</v>
      </c>
      <c r="DT44" t="str">
        <f t="shared" si="61"/>
        <v>automotive | Schwarz | L | bullet2_en</v>
      </c>
      <c r="DU44" t="str">
        <f t="shared" si="61"/>
        <v>automotive | Schwarz | L | bullet3_en</v>
      </c>
      <c r="DV44" t="str">
        <f t="shared" si="61"/>
        <v>automotive | Schwarz | L | bullet4_en</v>
      </c>
      <c r="DW44" t="str">
        <f t="shared" si="61"/>
        <v>automotive | Schwarz | L | bullet5_en</v>
      </c>
      <c r="DX44" t="str">
        <f t="shared" si="61"/>
        <v>automotive | Schwarz | L | seo_title_en</v>
      </c>
      <c r="DY44" t="str">
        <f t="shared" si="61"/>
        <v>automotive | Schwarz | L | seo_description_en</v>
      </c>
      <c r="DZ44" t="str">
        <f t="shared" si="61"/>
        <v>automotive | Schwarz | L | seo_keywords_en</v>
      </c>
      <c r="EA44" t="str">
        <f t="shared" si="61"/>
        <v>automotive | Schwarz | L | title_tr</v>
      </c>
      <c r="EB44" t="str">
        <f t="shared" si="61"/>
        <v>automotive | Schwarz | L | description_tr</v>
      </c>
      <c r="EC44" t="str">
        <f t="shared" si="61"/>
        <v>automotive | Schwarz | L | bullet1_tr</v>
      </c>
      <c r="ED44" t="str">
        <f t="shared" si="61"/>
        <v>automotive | Schwarz | L | bullet2_tr</v>
      </c>
      <c r="EE44" t="str">
        <f t="shared" si="61"/>
        <v>automotive | Schwarz | L | bullet3_tr</v>
      </c>
      <c r="EF44" t="str">
        <f t="shared" si="61"/>
        <v>automotive | Schwarz | L | bullet4_tr</v>
      </c>
      <c r="EG44" t="str">
        <f t="shared" si="61"/>
        <v>automotive | Schwarz | L | bullet5_tr</v>
      </c>
      <c r="EH44" t="str">
        <f t="shared" si="61"/>
        <v>automotive | Schwarz | L | seo_title_tr</v>
      </c>
      <c r="EI44" t="str">
        <f t="shared" si="61"/>
        <v>automotive | Schwarz | L | seo_description_tr</v>
      </c>
      <c r="EJ44" t="str">
        <f t="shared" si="61"/>
        <v>automotive | Schwarz | L | seo_keywords_tr</v>
      </c>
      <c r="EK44" t="str">
        <f t="shared" si="61"/>
        <v>automotive | Schwarz | L | title_fr</v>
      </c>
      <c r="EL44" t="str">
        <f t="shared" si="61"/>
        <v>automotive | Schwarz | L | description_fr</v>
      </c>
      <c r="EM44" t="str">
        <f t="shared" si="61"/>
        <v>automotive | Schwarz | L | bullet1_fr</v>
      </c>
      <c r="EN44" t="str">
        <f t="shared" si="61"/>
        <v>automotive | Schwarz | L | bullet2_fr</v>
      </c>
      <c r="EO44" t="str">
        <f t="shared" si="61"/>
        <v>automotive | Schwarz | L | bullet3_fr</v>
      </c>
      <c r="EP44" t="str">
        <f t="shared" si="61"/>
        <v>automotive | Schwarz | L | bullet4_fr</v>
      </c>
      <c r="EQ44" t="str">
        <f t="shared" si="61"/>
        <v>automotive | Schwarz | L | bullet5_fr</v>
      </c>
      <c r="ER44" t="str">
        <f t="shared" si="61"/>
        <v>automotive | Schwarz | L | seo_title_fr</v>
      </c>
      <c r="ES44" t="str">
        <f t="shared" si="61"/>
        <v>automotive | Schwarz | L | seo_description_fr</v>
      </c>
      <c r="ET44" t="str">
        <f t="shared" si="61"/>
        <v>automotive | Schwarz | L | seo_keywords_fr</v>
      </c>
      <c r="EU44" t="str">
        <f t="shared" si="61"/>
        <v>automotive | Schwarz | L | title_it</v>
      </c>
      <c r="EV44" t="str">
        <f t="shared" si="61"/>
        <v>automotive | Schwarz | L | description_it</v>
      </c>
      <c r="EW44" t="str">
        <f t="shared" si="61"/>
        <v>automotive | Schwarz | L | bullet1_it</v>
      </c>
      <c r="EX44" t="str">
        <f t="shared" si="61"/>
        <v>automotive | Schwarz | L | bullet2_it</v>
      </c>
      <c r="EY44" t="str">
        <f t="shared" si="61"/>
        <v>automotive | Schwarz | L | bullet3_it</v>
      </c>
      <c r="EZ44" t="str">
        <f t="shared" si="61"/>
        <v>automotive | Schwarz | L | bullet4_it</v>
      </c>
      <c r="FA44" t="str">
        <f t="shared" si="61"/>
        <v>automotive | Schwarz | L | bullet5_it</v>
      </c>
      <c r="FB44" t="str">
        <f t="shared" si="61"/>
        <v>automotive | Schwarz | L | seo_title_it</v>
      </c>
      <c r="FC44" t="str">
        <f t="shared" si="61"/>
        <v>automotive | Schwarz | L | seo_description_it</v>
      </c>
      <c r="FD44" t="str">
        <f t="shared" si="61"/>
        <v>automotive | Schwarz | L | seo_keywords_it</v>
      </c>
      <c r="FE44" t="str">
        <f t="shared" si="61"/>
        <v>automotive | Schwarz | L | title_es</v>
      </c>
      <c r="FF44" t="str">
        <f t="shared" si="61"/>
        <v>automotive | Schwarz | L | description_es</v>
      </c>
      <c r="FG44" t="str">
        <f t="shared" si="61"/>
        <v>automotive | Schwarz | L | bullet1_es</v>
      </c>
      <c r="FH44" t="str">
        <f t="shared" si="61"/>
        <v>automotive | Schwarz | L | bullet2_es</v>
      </c>
      <c r="FI44" t="str">
        <f t="shared" si="61"/>
        <v>automotive | Schwarz | L | bullet3_es</v>
      </c>
      <c r="FJ44" t="str">
        <f t="shared" si="61"/>
        <v>automotive | Schwarz | L | bullet4_es</v>
      </c>
      <c r="FK44" t="str">
        <f t="shared" si="61"/>
        <v>automotive | Schwarz | L | bullet5_es</v>
      </c>
      <c r="FL44" t="str">
        <f t="shared" si="61"/>
        <v>automotive | Schwarz | L | seo_title_es</v>
      </c>
      <c r="FM44" t="str">
        <f t="shared" si="61"/>
        <v>automotive | Schwarz | L | seo_description_es</v>
      </c>
      <c r="FN44" t="str">
        <f t="shared" si="61"/>
        <v>automotive | Schwarz | L | seo_keywords_es</v>
      </c>
      <c r="FO44">
        <f t="shared" si="13"/>
        <v>46.99</v>
      </c>
      <c r="FP44">
        <f t="shared" si="7"/>
        <v>49.99</v>
      </c>
      <c r="FQ44">
        <f t="shared" si="8"/>
        <v>44.99</v>
      </c>
    </row>
    <row r="45" spans="1:173" x14ac:dyDescent="0.35">
      <c r="A45" t="s">
        <v>372</v>
      </c>
      <c r="B45" t="str">
        <f t="shared" si="62"/>
        <v>eco-parent3-160526-Schwarz-XL</v>
      </c>
      <c r="C45" t="s">
        <v>420</v>
      </c>
      <c r="D45" t="s">
        <v>354</v>
      </c>
      <c r="E45">
        <f t="shared" si="63"/>
        <v>3234567894</v>
      </c>
      <c r="F45">
        <f t="shared" ref="F45:F57" si="69">F44+10</f>
        <v>40</v>
      </c>
      <c r="G45" t="s">
        <v>357</v>
      </c>
      <c r="H45" t="s">
        <v>421</v>
      </c>
      <c r="I45" t="s">
        <v>407</v>
      </c>
      <c r="J45" t="s">
        <v>360</v>
      </c>
      <c r="K45" t="s">
        <v>424</v>
      </c>
      <c r="L45" t="s">
        <v>425</v>
      </c>
      <c r="M45" t="str">
        <f t="shared" si="2"/>
        <v>Ne2</v>
      </c>
      <c r="N45">
        <f t="shared" si="64"/>
        <v>305</v>
      </c>
      <c r="O45">
        <f t="shared" si="10"/>
        <v>39</v>
      </c>
      <c r="P45">
        <f t="shared" ref="P45:Q45" si="70">O45+5</f>
        <v>44</v>
      </c>
      <c r="Q45">
        <f t="shared" si="70"/>
        <v>49</v>
      </c>
      <c r="R45" s="18" t="s">
        <v>442</v>
      </c>
      <c r="S45" s="18" t="s">
        <v>443</v>
      </c>
      <c r="W45" s="18" t="s">
        <v>451</v>
      </c>
      <c r="Y45" t="s">
        <v>413</v>
      </c>
      <c r="AA45" t="s">
        <v>412</v>
      </c>
      <c r="AJ45" t="s">
        <v>364</v>
      </c>
      <c r="AK45">
        <f t="shared" si="66"/>
        <v>315</v>
      </c>
      <c r="AL45">
        <v>1000</v>
      </c>
      <c r="AM45">
        <f t="shared" si="67"/>
        <v>3234571</v>
      </c>
      <c r="AN45">
        <f t="shared" si="67"/>
        <v>32349</v>
      </c>
      <c r="AO45" s="18" t="s">
        <v>454</v>
      </c>
      <c r="AP45" t="s">
        <v>455</v>
      </c>
      <c r="AQ45" s="18" t="s">
        <v>457</v>
      </c>
      <c r="AR45" t="s">
        <v>456</v>
      </c>
      <c r="AY45" t="s">
        <v>458</v>
      </c>
      <c r="AZ45" t="s">
        <v>574</v>
      </c>
      <c r="BA45" t="s">
        <v>613</v>
      </c>
      <c r="BB45" t="s">
        <v>575</v>
      </c>
      <c r="BC45" t="s">
        <v>459</v>
      </c>
      <c r="BD45" t="s">
        <v>576</v>
      </c>
      <c r="DG45" t="str">
        <f t="shared" si="5"/>
        <v>automotive | Schwarz | XL | title_de</v>
      </c>
      <c r="DH45" t="str">
        <f t="shared" si="5"/>
        <v>automotive | Schwarz | XL | description_de</v>
      </c>
      <c r="DI45" t="str">
        <f t="shared" si="5"/>
        <v>automotive | Schwarz | XL | bullet1_de</v>
      </c>
      <c r="DJ45" t="str">
        <f t="shared" si="5"/>
        <v>automotive | Schwarz | XL | bullet2_de</v>
      </c>
      <c r="DK45" t="str">
        <f t="shared" si="5"/>
        <v>automotive | Schwarz | XL | bullet3_de</v>
      </c>
      <c r="DL45" t="str">
        <f t="shared" si="20"/>
        <v>automotive | Schwarz | XL | bullet4_de</v>
      </c>
      <c r="DM45" t="str">
        <f t="shared" si="6"/>
        <v>automotive | Schwarz | XL | bullet5_de</v>
      </c>
      <c r="DN45" t="str">
        <f t="shared" si="6"/>
        <v>automotive | Schwarz | XL | seo_title_de</v>
      </c>
      <c r="DO45" t="str">
        <f t="shared" si="6"/>
        <v>automotive | Schwarz | XL | seo_description_de</v>
      </c>
      <c r="DP45" t="str">
        <f t="shared" si="61"/>
        <v>automotive | Schwarz | XL | seo_keywords_de</v>
      </c>
      <c r="DQ45" t="str">
        <f t="shared" si="61"/>
        <v>automotive | Schwarz | XL | title_en</v>
      </c>
      <c r="DR45" t="str">
        <f t="shared" si="61"/>
        <v>automotive | Schwarz | XL | description_en</v>
      </c>
      <c r="DS45" t="str">
        <f t="shared" si="61"/>
        <v>automotive | Schwarz | XL | bullet1_en</v>
      </c>
      <c r="DT45" t="str">
        <f t="shared" si="61"/>
        <v>automotive | Schwarz | XL | bullet2_en</v>
      </c>
      <c r="DU45" t="str">
        <f t="shared" si="61"/>
        <v>automotive | Schwarz | XL | bullet3_en</v>
      </c>
      <c r="DV45" t="str">
        <f t="shared" si="61"/>
        <v>automotive | Schwarz | XL | bullet4_en</v>
      </c>
      <c r="DW45" t="str">
        <f t="shared" si="61"/>
        <v>automotive | Schwarz | XL | bullet5_en</v>
      </c>
      <c r="DX45" t="str">
        <f t="shared" si="61"/>
        <v>automotive | Schwarz | XL | seo_title_en</v>
      </c>
      <c r="DY45" t="str">
        <f t="shared" si="61"/>
        <v>automotive | Schwarz | XL | seo_description_en</v>
      </c>
      <c r="DZ45" t="str">
        <f t="shared" si="61"/>
        <v>automotive | Schwarz | XL | seo_keywords_en</v>
      </c>
      <c r="EA45" t="str">
        <f t="shared" si="61"/>
        <v>automotive | Schwarz | XL | title_tr</v>
      </c>
      <c r="EB45" t="str">
        <f t="shared" si="61"/>
        <v>automotive | Schwarz | XL | description_tr</v>
      </c>
      <c r="EC45" t="str">
        <f t="shared" si="61"/>
        <v>automotive | Schwarz | XL | bullet1_tr</v>
      </c>
      <c r="ED45" t="str">
        <f t="shared" si="61"/>
        <v>automotive | Schwarz | XL | bullet2_tr</v>
      </c>
      <c r="EE45" t="str">
        <f t="shared" si="61"/>
        <v>automotive | Schwarz | XL | bullet3_tr</v>
      </c>
      <c r="EF45" t="str">
        <f t="shared" si="61"/>
        <v>automotive | Schwarz | XL | bullet4_tr</v>
      </c>
      <c r="EG45" t="str">
        <f t="shared" si="61"/>
        <v>automotive | Schwarz | XL | bullet5_tr</v>
      </c>
      <c r="EH45" t="str">
        <f t="shared" si="61"/>
        <v>automotive | Schwarz | XL | seo_title_tr</v>
      </c>
      <c r="EI45" t="str">
        <f t="shared" si="61"/>
        <v>automotive | Schwarz | XL | seo_description_tr</v>
      </c>
      <c r="EJ45" t="str">
        <f t="shared" si="61"/>
        <v>automotive | Schwarz | XL | seo_keywords_tr</v>
      </c>
      <c r="EK45" t="str">
        <f t="shared" si="61"/>
        <v>automotive | Schwarz | XL | title_fr</v>
      </c>
      <c r="EL45" t="str">
        <f t="shared" si="61"/>
        <v>automotive | Schwarz | XL | description_fr</v>
      </c>
      <c r="EM45" t="str">
        <f t="shared" si="61"/>
        <v>automotive | Schwarz | XL | bullet1_fr</v>
      </c>
      <c r="EN45" t="str">
        <f t="shared" si="61"/>
        <v>automotive | Schwarz | XL | bullet2_fr</v>
      </c>
      <c r="EO45" t="str">
        <f t="shared" si="61"/>
        <v>automotive | Schwarz | XL | bullet3_fr</v>
      </c>
      <c r="EP45" t="str">
        <f t="shared" si="61"/>
        <v>automotive | Schwarz | XL | bullet4_fr</v>
      </c>
      <c r="EQ45" t="str">
        <f t="shared" si="61"/>
        <v>automotive | Schwarz | XL | bullet5_fr</v>
      </c>
      <c r="ER45" t="str">
        <f t="shared" si="61"/>
        <v>automotive | Schwarz | XL | seo_title_fr</v>
      </c>
      <c r="ES45" t="str">
        <f t="shared" si="61"/>
        <v>automotive | Schwarz | XL | seo_description_fr</v>
      </c>
      <c r="ET45" t="str">
        <f t="shared" si="61"/>
        <v>automotive | Schwarz | XL | seo_keywords_fr</v>
      </c>
      <c r="EU45" t="str">
        <f t="shared" si="61"/>
        <v>automotive | Schwarz | XL | title_it</v>
      </c>
      <c r="EV45" t="str">
        <f t="shared" si="61"/>
        <v>automotive | Schwarz | XL | description_it</v>
      </c>
      <c r="EW45" t="str">
        <f t="shared" si="61"/>
        <v>automotive | Schwarz | XL | bullet1_it</v>
      </c>
      <c r="EX45" t="str">
        <f t="shared" si="61"/>
        <v>automotive | Schwarz | XL | bullet2_it</v>
      </c>
      <c r="EY45" t="str">
        <f t="shared" si="61"/>
        <v>automotive | Schwarz | XL | bullet3_it</v>
      </c>
      <c r="EZ45" t="str">
        <f t="shared" si="61"/>
        <v>automotive | Schwarz | XL | bullet4_it</v>
      </c>
      <c r="FA45" t="str">
        <f t="shared" si="61"/>
        <v>automotive | Schwarz | XL | bullet5_it</v>
      </c>
      <c r="FB45" t="str">
        <f t="shared" si="61"/>
        <v>automotive | Schwarz | XL | seo_title_it</v>
      </c>
      <c r="FC45" t="str">
        <f t="shared" si="61"/>
        <v>automotive | Schwarz | XL | seo_description_it</v>
      </c>
      <c r="FD45" t="str">
        <f t="shared" si="61"/>
        <v>automotive | Schwarz | XL | seo_keywords_it</v>
      </c>
      <c r="FE45" t="str">
        <f t="shared" si="61"/>
        <v>automotive | Schwarz | XL | title_es</v>
      </c>
      <c r="FF45" t="str">
        <f t="shared" si="61"/>
        <v>automotive | Schwarz | XL | description_es</v>
      </c>
      <c r="FG45" t="str">
        <f t="shared" si="61"/>
        <v>automotive | Schwarz | XL | bullet1_es</v>
      </c>
      <c r="FH45" t="str">
        <f t="shared" si="61"/>
        <v>automotive | Schwarz | XL | bullet2_es</v>
      </c>
      <c r="FI45" t="str">
        <f t="shared" si="61"/>
        <v>automotive | Schwarz | XL | bullet3_es</v>
      </c>
      <c r="FJ45" t="str">
        <f t="shared" si="61"/>
        <v>automotive | Schwarz | XL | bullet4_es</v>
      </c>
      <c r="FK45" t="str">
        <f t="shared" si="61"/>
        <v>automotive | Schwarz | XL | bullet5_es</v>
      </c>
      <c r="FL45" t="str">
        <f t="shared" si="61"/>
        <v>automotive | Schwarz | XL | seo_title_es</v>
      </c>
      <c r="FM45" t="str">
        <f t="shared" si="61"/>
        <v>automotive | Schwarz | XL | seo_description_es</v>
      </c>
      <c r="FN45" t="str">
        <f t="shared" si="61"/>
        <v>automotive | Schwarz | XL | seo_keywords_es</v>
      </c>
      <c r="FO45">
        <f t="shared" si="13"/>
        <v>47.99</v>
      </c>
      <c r="FP45">
        <f t="shared" si="7"/>
        <v>50.99</v>
      </c>
      <c r="FQ45">
        <f t="shared" si="8"/>
        <v>45.99</v>
      </c>
    </row>
    <row r="46" spans="1:173" x14ac:dyDescent="0.35">
      <c r="A46" t="s">
        <v>372</v>
      </c>
      <c r="B46" t="str">
        <f t="shared" si="62"/>
        <v>eco-parent3-160526-Weiß-S</v>
      </c>
      <c r="C46" t="s">
        <v>420</v>
      </c>
      <c r="D46" t="s">
        <v>354</v>
      </c>
      <c r="E46">
        <f t="shared" si="63"/>
        <v>3234567895</v>
      </c>
      <c r="F46">
        <f t="shared" si="69"/>
        <v>50</v>
      </c>
      <c r="G46" t="s">
        <v>357</v>
      </c>
      <c r="H46" t="s">
        <v>421</v>
      </c>
      <c r="I46" t="s">
        <v>407</v>
      </c>
      <c r="J46" t="s">
        <v>360</v>
      </c>
      <c r="K46" t="s">
        <v>424</v>
      </c>
      <c r="L46" t="s">
        <v>425</v>
      </c>
      <c r="M46" t="str">
        <f t="shared" si="2"/>
        <v>Ne2</v>
      </c>
      <c r="N46">
        <f t="shared" si="64"/>
        <v>306</v>
      </c>
      <c r="O46">
        <f t="shared" si="10"/>
        <v>40</v>
      </c>
      <c r="P46">
        <f t="shared" ref="P46:Q46" si="71">O46+5</f>
        <v>45</v>
      </c>
      <c r="Q46">
        <f t="shared" si="71"/>
        <v>50</v>
      </c>
      <c r="R46" s="18" t="s">
        <v>444</v>
      </c>
      <c r="S46" s="18" t="s">
        <v>445</v>
      </c>
      <c r="W46" s="18" t="s">
        <v>450</v>
      </c>
      <c r="Y46" t="s">
        <v>414</v>
      </c>
      <c r="AA46" t="s">
        <v>378</v>
      </c>
      <c r="AJ46" t="s">
        <v>364</v>
      </c>
      <c r="AK46">
        <f t="shared" si="66"/>
        <v>316</v>
      </c>
      <c r="AL46">
        <v>1000</v>
      </c>
      <c r="AM46">
        <f t="shared" si="67"/>
        <v>3234572</v>
      </c>
      <c r="AN46">
        <f t="shared" si="67"/>
        <v>32350</v>
      </c>
      <c r="AO46" s="18" t="s">
        <v>454</v>
      </c>
      <c r="AP46" t="s">
        <v>455</v>
      </c>
      <c r="AQ46" s="18" t="s">
        <v>457</v>
      </c>
      <c r="AR46" t="s">
        <v>456</v>
      </c>
      <c r="AY46" t="s">
        <v>458</v>
      </c>
      <c r="AZ46" t="s">
        <v>577</v>
      </c>
      <c r="BA46" t="s">
        <v>613</v>
      </c>
      <c r="BB46" t="s">
        <v>578</v>
      </c>
      <c r="BC46" t="s">
        <v>459</v>
      </c>
      <c r="BD46" t="s">
        <v>579</v>
      </c>
      <c r="DG46" t="str">
        <f t="shared" si="5"/>
        <v>automotive | Weiß | S | title_de</v>
      </c>
      <c r="DH46" t="str">
        <f t="shared" si="5"/>
        <v>automotive | Weiß | S | description_de</v>
      </c>
      <c r="DI46" t="str">
        <f t="shared" si="5"/>
        <v>automotive | Weiß | S | bullet1_de</v>
      </c>
      <c r="DJ46" t="str">
        <f t="shared" si="5"/>
        <v>automotive | Weiß | S | bullet2_de</v>
      </c>
      <c r="DK46" t="str">
        <f t="shared" si="5"/>
        <v>automotive | Weiß | S | bullet3_de</v>
      </c>
      <c r="DL46" t="str">
        <f t="shared" si="20"/>
        <v>automotive | Weiß | S | bullet4_de</v>
      </c>
      <c r="DM46" t="str">
        <f t="shared" si="6"/>
        <v>automotive | Weiß | S | bullet5_de</v>
      </c>
      <c r="DN46" t="str">
        <f t="shared" si="6"/>
        <v>automotive | Weiß | S | seo_title_de</v>
      </c>
      <c r="DO46" t="str">
        <f t="shared" si="6"/>
        <v>automotive | Weiß | S | seo_description_de</v>
      </c>
      <c r="DP46" t="str">
        <f t="shared" si="61"/>
        <v>automotive | Weiß | S | seo_keywords_de</v>
      </c>
      <c r="DQ46" t="str">
        <f t="shared" si="61"/>
        <v>automotive | Weiß | S | title_en</v>
      </c>
      <c r="DR46" t="str">
        <f t="shared" si="61"/>
        <v>automotive | Weiß | S | description_en</v>
      </c>
      <c r="DS46" t="str">
        <f t="shared" si="61"/>
        <v>automotive | Weiß | S | bullet1_en</v>
      </c>
      <c r="DT46" t="str">
        <f t="shared" si="61"/>
        <v>automotive | Weiß | S | bullet2_en</v>
      </c>
      <c r="DU46" t="str">
        <f t="shared" si="61"/>
        <v>automotive | Weiß | S | bullet3_en</v>
      </c>
      <c r="DV46" t="str">
        <f t="shared" si="61"/>
        <v>automotive | Weiß | S | bullet4_en</v>
      </c>
      <c r="DW46" t="str">
        <f t="shared" si="61"/>
        <v>automotive | Weiß | S | bullet5_en</v>
      </c>
      <c r="DX46" t="str">
        <f t="shared" si="61"/>
        <v>automotive | Weiß | S | seo_title_en</v>
      </c>
      <c r="DY46" t="str">
        <f t="shared" si="61"/>
        <v>automotive | Weiß | S | seo_description_en</v>
      </c>
      <c r="DZ46" t="str">
        <f t="shared" si="61"/>
        <v>automotive | Weiß | S | seo_keywords_en</v>
      </c>
      <c r="EA46" t="str">
        <f t="shared" si="61"/>
        <v>automotive | Weiß | S | title_tr</v>
      </c>
      <c r="EB46" t="str">
        <f t="shared" si="61"/>
        <v>automotive | Weiß | S | description_tr</v>
      </c>
      <c r="EC46" t="str">
        <f t="shared" si="61"/>
        <v>automotive | Weiß | S | bullet1_tr</v>
      </c>
      <c r="ED46" t="str">
        <f t="shared" si="61"/>
        <v>automotive | Weiß | S | bullet2_tr</v>
      </c>
      <c r="EE46" t="str">
        <f t="shared" si="61"/>
        <v>automotive | Weiß | S | bullet3_tr</v>
      </c>
      <c r="EF46" t="str">
        <f t="shared" si="61"/>
        <v>automotive | Weiß | S | bullet4_tr</v>
      </c>
      <c r="EG46" t="str">
        <f t="shared" si="61"/>
        <v>automotive | Weiß | S | bullet5_tr</v>
      </c>
      <c r="EH46" t="str">
        <f t="shared" si="61"/>
        <v>automotive | Weiß | S | seo_title_tr</v>
      </c>
      <c r="EI46" t="str">
        <f t="shared" si="61"/>
        <v>automotive | Weiß | S | seo_description_tr</v>
      </c>
      <c r="EJ46" t="str">
        <f t="shared" si="61"/>
        <v>automotive | Weiß | S | seo_keywords_tr</v>
      </c>
      <c r="EK46" t="str">
        <f t="shared" si="61"/>
        <v>automotive | Weiß | S | title_fr</v>
      </c>
      <c r="EL46" t="str">
        <f t="shared" si="61"/>
        <v>automotive | Weiß | S | description_fr</v>
      </c>
      <c r="EM46" t="str">
        <f t="shared" si="61"/>
        <v>automotive | Weiß | S | bullet1_fr</v>
      </c>
      <c r="EN46" t="str">
        <f t="shared" si="61"/>
        <v>automotive | Weiß | S | bullet2_fr</v>
      </c>
      <c r="EO46" t="str">
        <f t="shared" si="61"/>
        <v>automotive | Weiß | S | bullet3_fr</v>
      </c>
      <c r="EP46" t="str">
        <f t="shared" si="61"/>
        <v>automotive | Weiß | S | bullet4_fr</v>
      </c>
      <c r="EQ46" t="str">
        <f t="shared" si="61"/>
        <v>automotive | Weiß | S | bullet5_fr</v>
      </c>
      <c r="ER46" t="str">
        <f t="shared" si="61"/>
        <v>automotive | Weiß | S | seo_title_fr</v>
      </c>
      <c r="ES46" t="str">
        <f t="shared" si="61"/>
        <v>automotive | Weiß | S | seo_description_fr</v>
      </c>
      <c r="ET46" t="str">
        <f t="shared" si="61"/>
        <v>automotive | Weiß | S | seo_keywords_fr</v>
      </c>
      <c r="EU46" t="str">
        <f t="shared" si="61"/>
        <v>automotive | Weiß | S | title_it</v>
      </c>
      <c r="EV46" t="str">
        <f t="shared" si="61"/>
        <v>automotive | Weiß | S | description_it</v>
      </c>
      <c r="EW46" t="str">
        <f t="shared" si="61"/>
        <v>automotive | Weiß | S | bullet1_it</v>
      </c>
      <c r="EX46" t="str">
        <f t="shared" si="61"/>
        <v>automotive | Weiß | S | bullet2_it</v>
      </c>
      <c r="EY46" t="str">
        <f t="shared" si="61"/>
        <v>automotive | Weiß | S | bullet3_it</v>
      </c>
      <c r="EZ46" t="str">
        <f t="shared" si="61"/>
        <v>automotive | Weiß | S | bullet4_it</v>
      </c>
      <c r="FA46" t="str">
        <f t="shared" si="61"/>
        <v>automotive | Weiß | S | bullet5_it</v>
      </c>
      <c r="FB46" t="str">
        <f t="shared" si="61"/>
        <v>automotive | Weiß | S | seo_title_it</v>
      </c>
      <c r="FC46" t="str">
        <f t="shared" si="61"/>
        <v>automotive | Weiß | S | seo_description_it</v>
      </c>
      <c r="FD46" t="str">
        <f t="shared" si="61"/>
        <v>automotive | Weiß | S | seo_keywords_it</v>
      </c>
      <c r="FE46" t="str">
        <f t="shared" si="61"/>
        <v>automotive | Weiß | S | title_es</v>
      </c>
      <c r="FF46" t="str">
        <f t="shared" si="61"/>
        <v>automotive | Weiß | S | description_es</v>
      </c>
      <c r="FG46" t="str">
        <f t="shared" si="61"/>
        <v>automotive | Weiß | S | bullet1_es</v>
      </c>
      <c r="FH46" t="str">
        <f t="shared" si="61"/>
        <v>automotive | Weiß | S | bullet2_es</v>
      </c>
      <c r="FI46" t="str">
        <f t="shared" si="61"/>
        <v>automotive | Weiß | S | bullet3_es</v>
      </c>
      <c r="FJ46" t="str">
        <f t="shared" si="61"/>
        <v>automotive | Weiß | S | bullet4_es</v>
      </c>
      <c r="FK46" t="str">
        <f t="shared" si="61"/>
        <v>automotive | Weiß | S | bullet5_es</v>
      </c>
      <c r="FL46" t="str">
        <f t="shared" si="61"/>
        <v>automotive | Weiß | S | seo_title_es</v>
      </c>
      <c r="FM46" t="str">
        <f t="shared" si="61"/>
        <v>automotive | Weiß | S | seo_description_es</v>
      </c>
      <c r="FN46" t="str">
        <f t="shared" si="61"/>
        <v>automotive | Weiß | S | seo_keywords_es</v>
      </c>
      <c r="FO46">
        <f t="shared" si="13"/>
        <v>48.99</v>
      </c>
      <c r="FP46">
        <f t="shared" si="7"/>
        <v>51.99</v>
      </c>
      <c r="FQ46">
        <f t="shared" si="8"/>
        <v>46.99</v>
      </c>
    </row>
    <row r="47" spans="1:173" x14ac:dyDescent="0.35">
      <c r="A47" t="s">
        <v>372</v>
      </c>
      <c r="B47" t="str">
        <f t="shared" si="62"/>
        <v>eco-parent3-160526-Weiß-M</v>
      </c>
      <c r="C47" t="s">
        <v>420</v>
      </c>
      <c r="D47" t="s">
        <v>354</v>
      </c>
      <c r="E47">
        <f t="shared" si="63"/>
        <v>3234567896</v>
      </c>
      <c r="F47">
        <f t="shared" si="69"/>
        <v>60</v>
      </c>
      <c r="G47" t="s">
        <v>357</v>
      </c>
      <c r="H47" t="s">
        <v>421</v>
      </c>
      <c r="I47" t="s">
        <v>407</v>
      </c>
      <c r="J47" t="s">
        <v>360</v>
      </c>
      <c r="K47" t="s">
        <v>424</v>
      </c>
      <c r="L47" t="s">
        <v>425</v>
      </c>
      <c r="M47" t="str">
        <f t="shared" si="2"/>
        <v>Ne2</v>
      </c>
      <c r="N47">
        <f t="shared" si="64"/>
        <v>307</v>
      </c>
      <c r="O47">
        <f t="shared" si="10"/>
        <v>41</v>
      </c>
      <c r="P47">
        <f t="shared" ref="P47:Q47" si="72">O47+5</f>
        <v>46</v>
      </c>
      <c r="Q47">
        <f t="shared" si="72"/>
        <v>51</v>
      </c>
      <c r="R47" s="18" t="s">
        <v>444</v>
      </c>
      <c r="S47" s="18" t="s">
        <v>445</v>
      </c>
      <c r="W47" s="18" t="s">
        <v>450</v>
      </c>
      <c r="Y47" t="s">
        <v>414</v>
      </c>
      <c r="AA47" t="s">
        <v>381</v>
      </c>
      <c r="AJ47" t="s">
        <v>364</v>
      </c>
      <c r="AK47">
        <f t="shared" si="66"/>
        <v>317</v>
      </c>
      <c r="AL47">
        <v>1000</v>
      </c>
      <c r="AM47">
        <f t="shared" si="67"/>
        <v>3234573</v>
      </c>
      <c r="AN47">
        <f t="shared" si="67"/>
        <v>32351</v>
      </c>
      <c r="AO47" s="18" t="s">
        <v>454</v>
      </c>
      <c r="AP47" t="s">
        <v>455</v>
      </c>
      <c r="AQ47" s="18" t="s">
        <v>457</v>
      </c>
      <c r="AR47" t="s">
        <v>456</v>
      </c>
      <c r="AY47" t="s">
        <v>458</v>
      </c>
      <c r="AZ47" t="s">
        <v>580</v>
      </c>
      <c r="BA47" t="s">
        <v>613</v>
      </c>
      <c r="BB47" t="s">
        <v>581</v>
      </c>
      <c r="BC47" t="s">
        <v>459</v>
      </c>
      <c r="BD47" t="s">
        <v>582</v>
      </c>
      <c r="DG47" t="str">
        <f t="shared" si="5"/>
        <v>automotive | Weiß | M | title_de</v>
      </c>
      <c r="DH47" t="str">
        <f t="shared" si="5"/>
        <v>automotive | Weiß | M | description_de</v>
      </c>
      <c r="DI47" t="str">
        <f t="shared" si="5"/>
        <v>automotive | Weiß | M | bullet1_de</v>
      </c>
      <c r="DJ47" t="str">
        <f t="shared" si="5"/>
        <v>automotive | Weiß | M | bullet2_de</v>
      </c>
      <c r="DK47" t="str">
        <f t="shared" si="5"/>
        <v>automotive | Weiß | M | bullet3_de</v>
      </c>
      <c r="DL47" t="str">
        <f t="shared" si="20"/>
        <v>automotive | Weiß | M | bullet4_de</v>
      </c>
      <c r="DM47" t="str">
        <f t="shared" si="6"/>
        <v>automotive | Weiß | M | bullet5_de</v>
      </c>
      <c r="DN47" t="str">
        <f t="shared" si="6"/>
        <v>automotive | Weiß | M | seo_title_de</v>
      </c>
      <c r="DO47" t="str">
        <f t="shared" si="6"/>
        <v>automotive | Weiß | M | seo_description_de</v>
      </c>
      <c r="DP47" t="str">
        <f t="shared" si="61"/>
        <v>automotive | Weiß | M | seo_keywords_de</v>
      </c>
      <c r="DQ47" t="str">
        <f t="shared" si="61"/>
        <v>automotive | Weiß | M | title_en</v>
      </c>
      <c r="DR47" t="str">
        <f t="shared" si="61"/>
        <v>automotive | Weiß | M | description_en</v>
      </c>
      <c r="DS47" t="str">
        <f t="shared" si="61"/>
        <v>automotive | Weiß | M | bullet1_en</v>
      </c>
      <c r="DT47" t="str">
        <f t="shared" si="61"/>
        <v>automotive | Weiß | M | bullet2_en</v>
      </c>
      <c r="DU47" t="str">
        <f t="shared" si="61"/>
        <v>automotive | Weiß | M | bullet3_en</v>
      </c>
      <c r="DV47" t="str">
        <f t="shared" si="61"/>
        <v>automotive | Weiß | M | bullet4_en</v>
      </c>
      <c r="DW47" t="str">
        <f t="shared" si="61"/>
        <v>automotive | Weiß | M | bullet5_en</v>
      </c>
      <c r="DX47" t="str">
        <f t="shared" si="61"/>
        <v>automotive | Weiß | M | seo_title_en</v>
      </c>
      <c r="DY47" t="str">
        <f t="shared" si="61"/>
        <v>automotive | Weiß | M | seo_description_en</v>
      </c>
      <c r="DZ47" t="str">
        <f t="shared" si="61"/>
        <v>automotive | Weiß | M | seo_keywords_en</v>
      </c>
      <c r="EA47" t="str">
        <f t="shared" si="61"/>
        <v>automotive | Weiß | M | title_tr</v>
      </c>
      <c r="EB47" t="str">
        <f t="shared" si="61"/>
        <v>automotive | Weiß | M | description_tr</v>
      </c>
      <c r="EC47" t="str">
        <f t="shared" ref="DP47:FN52" si="73">MID($I47,1,FIND("-",$I47,1)-1)&amp;" | "&amp;$Y47&amp;" | "&amp;$AA47&amp;" | "&amp;EC$2</f>
        <v>automotive | Weiß | M | bullet1_tr</v>
      </c>
      <c r="ED47" t="str">
        <f t="shared" si="73"/>
        <v>automotive | Weiß | M | bullet2_tr</v>
      </c>
      <c r="EE47" t="str">
        <f t="shared" si="73"/>
        <v>automotive | Weiß | M | bullet3_tr</v>
      </c>
      <c r="EF47" t="str">
        <f t="shared" si="73"/>
        <v>automotive | Weiß | M | bullet4_tr</v>
      </c>
      <c r="EG47" t="str">
        <f t="shared" si="73"/>
        <v>automotive | Weiß | M | bullet5_tr</v>
      </c>
      <c r="EH47" t="str">
        <f t="shared" si="73"/>
        <v>automotive | Weiß | M | seo_title_tr</v>
      </c>
      <c r="EI47" t="str">
        <f t="shared" si="73"/>
        <v>automotive | Weiß | M | seo_description_tr</v>
      </c>
      <c r="EJ47" t="str">
        <f t="shared" si="73"/>
        <v>automotive | Weiß | M | seo_keywords_tr</v>
      </c>
      <c r="EK47" t="str">
        <f t="shared" si="73"/>
        <v>automotive | Weiß | M | title_fr</v>
      </c>
      <c r="EL47" t="str">
        <f t="shared" si="73"/>
        <v>automotive | Weiß | M | description_fr</v>
      </c>
      <c r="EM47" t="str">
        <f t="shared" si="73"/>
        <v>automotive | Weiß | M | bullet1_fr</v>
      </c>
      <c r="EN47" t="str">
        <f t="shared" si="73"/>
        <v>automotive | Weiß | M | bullet2_fr</v>
      </c>
      <c r="EO47" t="str">
        <f t="shared" si="73"/>
        <v>automotive | Weiß | M | bullet3_fr</v>
      </c>
      <c r="EP47" t="str">
        <f t="shared" si="73"/>
        <v>automotive | Weiß | M | bullet4_fr</v>
      </c>
      <c r="EQ47" t="str">
        <f t="shared" si="73"/>
        <v>automotive | Weiß | M | bullet5_fr</v>
      </c>
      <c r="ER47" t="str">
        <f t="shared" si="73"/>
        <v>automotive | Weiß | M | seo_title_fr</v>
      </c>
      <c r="ES47" t="str">
        <f t="shared" si="73"/>
        <v>automotive | Weiß | M | seo_description_fr</v>
      </c>
      <c r="ET47" t="str">
        <f t="shared" si="73"/>
        <v>automotive | Weiß | M | seo_keywords_fr</v>
      </c>
      <c r="EU47" t="str">
        <f t="shared" si="73"/>
        <v>automotive | Weiß | M | title_it</v>
      </c>
      <c r="EV47" t="str">
        <f t="shared" si="73"/>
        <v>automotive | Weiß | M | description_it</v>
      </c>
      <c r="EW47" t="str">
        <f t="shared" si="73"/>
        <v>automotive | Weiß | M | bullet1_it</v>
      </c>
      <c r="EX47" t="str">
        <f t="shared" si="73"/>
        <v>automotive | Weiß | M | bullet2_it</v>
      </c>
      <c r="EY47" t="str">
        <f t="shared" si="73"/>
        <v>automotive | Weiß | M | bullet3_it</v>
      </c>
      <c r="EZ47" t="str">
        <f t="shared" si="73"/>
        <v>automotive | Weiß | M | bullet4_it</v>
      </c>
      <c r="FA47" t="str">
        <f t="shared" si="73"/>
        <v>automotive | Weiß | M | bullet5_it</v>
      </c>
      <c r="FB47" t="str">
        <f t="shared" si="73"/>
        <v>automotive | Weiß | M | seo_title_it</v>
      </c>
      <c r="FC47" t="str">
        <f t="shared" si="73"/>
        <v>automotive | Weiß | M | seo_description_it</v>
      </c>
      <c r="FD47" t="str">
        <f t="shared" si="73"/>
        <v>automotive | Weiß | M | seo_keywords_it</v>
      </c>
      <c r="FE47" t="str">
        <f t="shared" si="73"/>
        <v>automotive | Weiß | M | title_es</v>
      </c>
      <c r="FF47" t="str">
        <f t="shared" si="73"/>
        <v>automotive | Weiß | M | description_es</v>
      </c>
      <c r="FG47" t="str">
        <f t="shared" si="73"/>
        <v>automotive | Weiß | M | bullet1_es</v>
      </c>
      <c r="FH47" t="str">
        <f t="shared" si="73"/>
        <v>automotive | Weiß | M | bullet2_es</v>
      </c>
      <c r="FI47" t="str">
        <f t="shared" si="73"/>
        <v>automotive | Weiß | M | bullet3_es</v>
      </c>
      <c r="FJ47" t="str">
        <f t="shared" si="73"/>
        <v>automotive | Weiß | M | bullet4_es</v>
      </c>
      <c r="FK47" t="str">
        <f t="shared" si="73"/>
        <v>automotive | Weiß | M | bullet5_es</v>
      </c>
      <c r="FL47" t="str">
        <f t="shared" si="73"/>
        <v>automotive | Weiß | M | seo_title_es</v>
      </c>
      <c r="FM47" t="str">
        <f t="shared" si="73"/>
        <v>automotive | Weiß | M | seo_description_es</v>
      </c>
      <c r="FN47" t="str">
        <f t="shared" si="73"/>
        <v>automotive | Weiß | M | seo_keywords_es</v>
      </c>
      <c r="FO47">
        <f t="shared" si="13"/>
        <v>49.99</v>
      </c>
      <c r="FP47">
        <f t="shared" si="7"/>
        <v>52.99</v>
      </c>
      <c r="FQ47">
        <f t="shared" si="8"/>
        <v>47.99</v>
      </c>
    </row>
    <row r="48" spans="1:173" x14ac:dyDescent="0.35">
      <c r="A48" t="s">
        <v>372</v>
      </c>
      <c r="B48" t="str">
        <f t="shared" si="62"/>
        <v>eco-parent3-160526-Weiß-L</v>
      </c>
      <c r="C48" t="s">
        <v>420</v>
      </c>
      <c r="D48" t="s">
        <v>354</v>
      </c>
      <c r="E48">
        <f t="shared" si="63"/>
        <v>3234567897</v>
      </c>
      <c r="F48">
        <f t="shared" si="69"/>
        <v>70</v>
      </c>
      <c r="G48" t="s">
        <v>357</v>
      </c>
      <c r="H48" t="s">
        <v>421</v>
      </c>
      <c r="I48" t="s">
        <v>407</v>
      </c>
      <c r="J48" t="s">
        <v>360</v>
      </c>
      <c r="K48" t="s">
        <v>424</v>
      </c>
      <c r="L48" t="s">
        <v>425</v>
      </c>
      <c r="M48" t="str">
        <f t="shared" si="2"/>
        <v>Ne2</v>
      </c>
      <c r="N48">
        <f t="shared" si="64"/>
        <v>308</v>
      </c>
      <c r="O48">
        <f t="shared" si="10"/>
        <v>42</v>
      </c>
      <c r="P48">
        <f t="shared" ref="P48:Q48" si="74">O48+5</f>
        <v>47</v>
      </c>
      <c r="Q48">
        <f t="shared" si="74"/>
        <v>52</v>
      </c>
      <c r="R48" s="18" t="s">
        <v>444</v>
      </c>
      <c r="S48" s="18" t="s">
        <v>445</v>
      </c>
      <c r="W48" s="18" t="s">
        <v>450</v>
      </c>
      <c r="Y48" t="s">
        <v>414</v>
      </c>
      <c r="AA48" t="s">
        <v>406</v>
      </c>
      <c r="AJ48" t="s">
        <v>364</v>
      </c>
      <c r="AK48">
        <f t="shared" si="66"/>
        <v>318</v>
      </c>
      <c r="AL48">
        <v>1000</v>
      </c>
      <c r="AM48">
        <f t="shared" si="67"/>
        <v>3234574</v>
      </c>
      <c r="AN48">
        <f t="shared" si="67"/>
        <v>32352</v>
      </c>
      <c r="AO48" s="18" t="s">
        <v>454</v>
      </c>
      <c r="AP48" t="s">
        <v>455</v>
      </c>
      <c r="AQ48" s="18" t="s">
        <v>457</v>
      </c>
      <c r="AR48" t="s">
        <v>456</v>
      </c>
      <c r="AY48" t="s">
        <v>458</v>
      </c>
      <c r="AZ48" t="s">
        <v>583</v>
      </c>
      <c r="BA48" t="s">
        <v>613</v>
      </c>
      <c r="BB48" t="s">
        <v>584</v>
      </c>
      <c r="BC48" t="s">
        <v>459</v>
      </c>
      <c r="BD48" t="s">
        <v>585</v>
      </c>
      <c r="DG48" t="str">
        <f t="shared" si="5"/>
        <v>automotive | Weiß | L | title_de</v>
      </c>
      <c r="DH48" t="str">
        <f t="shared" si="5"/>
        <v>automotive | Weiß | L | description_de</v>
      </c>
      <c r="DI48" t="str">
        <f t="shared" si="5"/>
        <v>automotive | Weiß | L | bullet1_de</v>
      </c>
      <c r="DJ48" t="str">
        <f t="shared" si="5"/>
        <v>automotive | Weiß | L | bullet2_de</v>
      </c>
      <c r="DK48" t="str">
        <f t="shared" si="5"/>
        <v>automotive | Weiß | L | bullet3_de</v>
      </c>
      <c r="DL48" t="str">
        <f t="shared" si="20"/>
        <v>automotive | Weiß | L | bullet4_de</v>
      </c>
      <c r="DM48" t="str">
        <f t="shared" si="6"/>
        <v>automotive | Weiß | L | bullet5_de</v>
      </c>
      <c r="DN48" t="str">
        <f t="shared" si="6"/>
        <v>automotive | Weiß | L | seo_title_de</v>
      </c>
      <c r="DO48" t="str">
        <f t="shared" si="6"/>
        <v>automotive | Weiß | L | seo_description_de</v>
      </c>
      <c r="DP48" t="str">
        <f t="shared" si="73"/>
        <v>automotive | Weiß | L | seo_keywords_de</v>
      </c>
      <c r="DQ48" t="str">
        <f t="shared" si="73"/>
        <v>automotive | Weiß | L | title_en</v>
      </c>
      <c r="DR48" t="str">
        <f t="shared" si="73"/>
        <v>automotive | Weiß | L | description_en</v>
      </c>
      <c r="DS48" t="str">
        <f t="shared" si="73"/>
        <v>automotive | Weiß | L | bullet1_en</v>
      </c>
      <c r="DT48" t="str">
        <f t="shared" si="73"/>
        <v>automotive | Weiß | L | bullet2_en</v>
      </c>
      <c r="DU48" t="str">
        <f t="shared" si="73"/>
        <v>automotive | Weiß | L | bullet3_en</v>
      </c>
      <c r="DV48" t="str">
        <f t="shared" si="73"/>
        <v>automotive | Weiß | L | bullet4_en</v>
      </c>
      <c r="DW48" t="str">
        <f t="shared" si="73"/>
        <v>automotive | Weiß | L | bullet5_en</v>
      </c>
      <c r="DX48" t="str">
        <f t="shared" si="73"/>
        <v>automotive | Weiß | L | seo_title_en</v>
      </c>
      <c r="DY48" t="str">
        <f t="shared" si="73"/>
        <v>automotive | Weiß | L | seo_description_en</v>
      </c>
      <c r="DZ48" t="str">
        <f t="shared" si="73"/>
        <v>automotive | Weiß | L | seo_keywords_en</v>
      </c>
      <c r="EA48" t="str">
        <f t="shared" si="73"/>
        <v>automotive | Weiß | L | title_tr</v>
      </c>
      <c r="EB48" t="str">
        <f t="shared" si="73"/>
        <v>automotive | Weiß | L | description_tr</v>
      </c>
      <c r="EC48" t="str">
        <f t="shared" si="73"/>
        <v>automotive | Weiß | L | bullet1_tr</v>
      </c>
      <c r="ED48" t="str">
        <f t="shared" si="73"/>
        <v>automotive | Weiß | L | bullet2_tr</v>
      </c>
      <c r="EE48" t="str">
        <f t="shared" si="73"/>
        <v>automotive | Weiß | L | bullet3_tr</v>
      </c>
      <c r="EF48" t="str">
        <f t="shared" si="73"/>
        <v>automotive | Weiß | L | bullet4_tr</v>
      </c>
      <c r="EG48" t="str">
        <f t="shared" si="73"/>
        <v>automotive | Weiß | L | bullet5_tr</v>
      </c>
      <c r="EH48" t="str">
        <f t="shared" si="73"/>
        <v>automotive | Weiß | L | seo_title_tr</v>
      </c>
      <c r="EI48" t="str">
        <f t="shared" si="73"/>
        <v>automotive | Weiß | L | seo_description_tr</v>
      </c>
      <c r="EJ48" t="str">
        <f t="shared" si="73"/>
        <v>automotive | Weiß | L | seo_keywords_tr</v>
      </c>
      <c r="EK48" t="str">
        <f t="shared" si="73"/>
        <v>automotive | Weiß | L | title_fr</v>
      </c>
      <c r="EL48" t="str">
        <f t="shared" si="73"/>
        <v>automotive | Weiß | L | description_fr</v>
      </c>
      <c r="EM48" t="str">
        <f t="shared" si="73"/>
        <v>automotive | Weiß | L | bullet1_fr</v>
      </c>
      <c r="EN48" t="str">
        <f t="shared" si="73"/>
        <v>automotive | Weiß | L | bullet2_fr</v>
      </c>
      <c r="EO48" t="str">
        <f t="shared" si="73"/>
        <v>automotive | Weiß | L | bullet3_fr</v>
      </c>
      <c r="EP48" t="str">
        <f t="shared" si="73"/>
        <v>automotive | Weiß | L | bullet4_fr</v>
      </c>
      <c r="EQ48" t="str">
        <f t="shared" si="73"/>
        <v>automotive | Weiß | L | bullet5_fr</v>
      </c>
      <c r="ER48" t="str">
        <f t="shared" si="73"/>
        <v>automotive | Weiß | L | seo_title_fr</v>
      </c>
      <c r="ES48" t="str">
        <f t="shared" si="73"/>
        <v>automotive | Weiß | L | seo_description_fr</v>
      </c>
      <c r="ET48" t="str">
        <f t="shared" si="73"/>
        <v>automotive | Weiß | L | seo_keywords_fr</v>
      </c>
      <c r="EU48" t="str">
        <f t="shared" si="73"/>
        <v>automotive | Weiß | L | title_it</v>
      </c>
      <c r="EV48" t="str">
        <f t="shared" si="73"/>
        <v>automotive | Weiß | L | description_it</v>
      </c>
      <c r="EW48" t="str">
        <f t="shared" si="73"/>
        <v>automotive | Weiß | L | bullet1_it</v>
      </c>
      <c r="EX48" t="str">
        <f t="shared" si="73"/>
        <v>automotive | Weiß | L | bullet2_it</v>
      </c>
      <c r="EY48" t="str">
        <f t="shared" si="73"/>
        <v>automotive | Weiß | L | bullet3_it</v>
      </c>
      <c r="EZ48" t="str">
        <f t="shared" si="73"/>
        <v>automotive | Weiß | L | bullet4_it</v>
      </c>
      <c r="FA48" t="str">
        <f t="shared" si="73"/>
        <v>automotive | Weiß | L | bullet5_it</v>
      </c>
      <c r="FB48" t="str">
        <f t="shared" si="73"/>
        <v>automotive | Weiß | L | seo_title_it</v>
      </c>
      <c r="FC48" t="str">
        <f t="shared" si="73"/>
        <v>automotive | Weiß | L | seo_description_it</v>
      </c>
      <c r="FD48" t="str">
        <f t="shared" si="73"/>
        <v>automotive | Weiß | L | seo_keywords_it</v>
      </c>
      <c r="FE48" t="str">
        <f t="shared" si="73"/>
        <v>automotive | Weiß | L | title_es</v>
      </c>
      <c r="FF48" t="str">
        <f t="shared" si="73"/>
        <v>automotive | Weiß | L | description_es</v>
      </c>
      <c r="FG48" t="str">
        <f t="shared" si="73"/>
        <v>automotive | Weiß | L | bullet1_es</v>
      </c>
      <c r="FH48" t="str">
        <f t="shared" si="73"/>
        <v>automotive | Weiß | L | bullet2_es</v>
      </c>
      <c r="FI48" t="str">
        <f t="shared" si="73"/>
        <v>automotive | Weiß | L | bullet3_es</v>
      </c>
      <c r="FJ48" t="str">
        <f t="shared" si="73"/>
        <v>automotive | Weiß | L | bullet4_es</v>
      </c>
      <c r="FK48" t="str">
        <f t="shared" si="73"/>
        <v>automotive | Weiß | L | bullet5_es</v>
      </c>
      <c r="FL48" t="str">
        <f t="shared" si="73"/>
        <v>automotive | Weiß | L | seo_title_es</v>
      </c>
      <c r="FM48" t="str">
        <f t="shared" si="73"/>
        <v>automotive | Weiß | L | seo_description_es</v>
      </c>
      <c r="FN48" t="str">
        <f t="shared" si="73"/>
        <v>automotive | Weiß | L | seo_keywords_es</v>
      </c>
      <c r="FO48">
        <f t="shared" si="13"/>
        <v>50.99</v>
      </c>
      <c r="FP48">
        <f t="shared" si="7"/>
        <v>53.99</v>
      </c>
      <c r="FQ48">
        <f t="shared" si="8"/>
        <v>48.99</v>
      </c>
    </row>
    <row r="49" spans="1:173" x14ac:dyDescent="0.35">
      <c r="A49" t="s">
        <v>372</v>
      </c>
      <c r="B49" t="str">
        <f t="shared" si="62"/>
        <v>eco-parent3-160526-Weiß-XL</v>
      </c>
      <c r="C49" t="s">
        <v>420</v>
      </c>
      <c r="D49" t="s">
        <v>354</v>
      </c>
      <c r="E49">
        <f t="shared" si="63"/>
        <v>3234567898</v>
      </c>
      <c r="F49">
        <f t="shared" si="69"/>
        <v>80</v>
      </c>
      <c r="G49" t="s">
        <v>357</v>
      </c>
      <c r="H49" t="s">
        <v>421</v>
      </c>
      <c r="I49" t="s">
        <v>407</v>
      </c>
      <c r="J49" t="s">
        <v>360</v>
      </c>
      <c r="K49" t="s">
        <v>424</v>
      </c>
      <c r="L49" t="s">
        <v>425</v>
      </c>
      <c r="M49" t="str">
        <f t="shared" si="2"/>
        <v>Ne2</v>
      </c>
      <c r="N49">
        <f t="shared" si="64"/>
        <v>309</v>
      </c>
      <c r="O49">
        <f t="shared" si="10"/>
        <v>43</v>
      </c>
      <c r="P49">
        <f t="shared" ref="P49:Q49" si="75">O49+5</f>
        <v>48</v>
      </c>
      <c r="Q49">
        <f t="shared" si="75"/>
        <v>53</v>
      </c>
      <c r="R49" s="18" t="s">
        <v>444</v>
      </c>
      <c r="S49" s="18" t="s">
        <v>445</v>
      </c>
      <c r="W49" s="18" t="s">
        <v>450</v>
      </c>
      <c r="Y49" t="s">
        <v>414</v>
      </c>
      <c r="AA49" t="s">
        <v>412</v>
      </c>
      <c r="AJ49" t="s">
        <v>364</v>
      </c>
      <c r="AK49">
        <f t="shared" si="66"/>
        <v>319</v>
      </c>
      <c r="AL49">
        <v>1000</v>
      </c>
      <c r="AM49">
        <f t="shared" si="67"/>
        <v>3234575</v>
      </c>
      <c r="AN49">
        <f t="shared" si="67"/>
        <v>32353</v>
      </c>
      <c r="AO49" s="18" t="s">
        <v>454</v>
      </c>
      <c r="AP49" t="s">
        <v>455</v>
      </c>
      <c r="AQ49" s="18" t="s">
        <v>457</v>
      </c>
      <c r="AR49" t="s">
        <v>456</v>
      </c>
      <c r="AY49" t="s">
        <v>458</v>
      </c>
      <c r="AZ49" t="s">
        <v>586</v>
      </c>
      <c r="BA49" t="s">
        <v>613</v>
      </c>
      <c r="BB49" t="s">
        <v>587</v>
      </c>
      <c r="BC49" t="s">
        <v>459</v>
      </c>
      <c r="BD49" t="s">
        <v>588</v>
      </c>
      <c r="DG49" t="str">
        <f t="shared" si="5"/>
        <v>automotive | Weiß | XL | title_de</v>
      </c>
      <c r="DH49" t="str">
        <f t="shared" si="5"/>
        <v>automotive | Weiß | XL | description_de</v>
      </c>
      <c r="DI49" t="str">
        <f t="shared" si="5"/>
        <v>automotive | Weiß | XL | bullet1_de</v>
      </c>
      <c r="DJ49" t="str">
        <f t="shared" si="5"/>
        <v>automotive | Weiß | XL | bullet2_de</v>
      </c>
      <c r="DK49" t="str">
        <f t="shared" si="5"/>
        <v>automotive | Weiß | XL | bullet3_de</v>
      </c>
      <c r="DL49" t="str">
        <f t="shared" si="20"/>
        <v>automotive | Weiß | XL | bullet4_de</v>
      </c>
      <c r="DM49" t="str">
        <f t="shared" si="6"/>
        <v>automotive | Weiß | XL | bullet5_de</v>
      </c>
      <c r="DN49" t="str">
        <f t="shared" si="6"/>
        <v>automotive | Weiß | XL | seo_title_de</v>
      </c>
      <c r="DO49" t="str">
        <f t="shared" si="6"/>
        <v>automotive | Weiß | XL | seo_description_de</v>
      </c>
      <c r="DP49" t="str">
        <f t="shared" si="73"/>
        <v>automotive | Weiß | XL | seo_keywords_de</v>
      </c>
      <c r="DQ49" t="str">
        <f t="shared" si="73"/>
        <v>automotive | Weiß | XL | title_en</v>
      </c>
      <c r="DR49" t="str">
        <f t="shared" si="73"/>
        <v>automotive | Weiß | XL | description_en</v>
      </c>
      <c r="DS49" t="str">
        <f t="shared" si="73"/>
        <v>automotive | Weiß | XL | bullet1_en</v>
      </c>
      <c r="DT49" t="str">
        <f t="shared" si="73"/>
        <v>automotive | Weiß | XL | bullet2_en</v>
      </c>
      <c r="DU49" t="str">
        <f t="shared" si="73"/>
        <v>automotive | Weiß | XL | bullet3_en</v>
      </c>
      <c r="DV49" t="str">
        <f t="shared" si="73"/>
        <v>automotive | Weiß | XL | bullet4_en</v>
      </c>
      <c r="DW49" t="str">
        <f t="shared" si="73"/>
        <v>automotive | Weiß | XL | bullet5_en</v>
      </c>
      <c r="DX49" t="str">
        <f t="shared" si="73"/>
        <v>automotive | Weiß | XL | seo_title_en</v>
      </c>
      <c r="DY49" t="str">
        <f t="shared" si="73"/>
        <v>automotive | Weiß | XL | seo_description_en</v>
      </c>
      <c r="DZ49" t="str">
        <f t="shared" si="73"/>
        <v>automotive | Weiß | XL | seo_keywords_en</v>
      </c>
      <c r="EA49" t="str">
        <f t="shared" si="73"/>
        <v>automotive | Weiß | XL | title_tr</v>
      </c>
      <c r="EB49" t="str">
        <f t="shared" si="73"/>
        <v>automotive | Weiß | XL | description_tr</v>
      </c>
      <c r="EC49" t="str">
        <f t="shared" si="73"/>
        <v>automotive | Weiß | XL | bullet1_tr</v>
      </c>
      <c r="ED49" t="str">
        <f t="shared" si="73"/>
        <v>automotive | Weiß | XL | bullet2_tr</v>
      </c>
      <c r="EE49" t="str">
        <f t="shared" si="73"/>
        <v>automotive | Weiß | XL | bullet3_tr</v>
      </c>
      <c r="EF49" t="str">
        <f t="shared" si="73"/>
        <v>automotive | Weiß | XL | bullet4_tr</v>
      </c>
      <c r="EG49" t="str">
        <f t="shared" si="73"/>
        <v>automotive | Weiß | XL | bullet5_tr</v>
      </c>
      <c r="EH49" t="str">
        <f t="shared" si="73"/>
        <v>automotive | Weiß | XL | seo_title_tr</v>
      </c>
      <c r="EI49" t="str">
        <f t="shared" si="73"/>
        <v>automotive | Weiß | XL | seo_description_tr</v>
      </c>
      <c r="EJ49" t="str">
        <f t="shared" si="73"/>
        <v>automotive | Weiß | XL | seo_keywords_tr</v>
      </c>
      <c r="EK49" t="str">
        <f t="shared" si="73"/>
        <v>automotive | Weiß | XL | title_fr</v>
      </c>
      <c r="EL49" t="str">
        <f t="shared" si="73"/>
        <v>automotive | Weiß | XL | description_fr</v>
      </c>
      <c r="EM49" t="str">
        <f t="shared" si="73"/>
        <v>automotive | Weiß | XL | bullet1_fr</v>
      </c>
      <c r="EN49" t="str">
        <f t="shared" si="73"/>
        <v>automotive | Weiß | XL | bullet2_fr</v>
      </c>
      <c r="EO49" t="str">
        <f t="shared" si="73"/>
        <v>automotive | Weiß | XL | bullet3_fr</v>
      </c>
      <c r="EP49" t="str">
        <f t="shared" si="73"/>
        <v>automotive | Weiß | XL | bullet4_fr</v>
      </c>
      <c r="EQ49" t="str">
        <f t="shared" si="73"/>
        <v>automotive | Weiß | XL | bullet5_fr</v>
      </c>
      <c r="ER49" t="str">
        <f t="shared" si="73"/>
        <v>automotive | Weiß | XL | seo_title_fr</v>
      </c>
      <c r="ES49" t="str">
        <f t="shared" si="73"/>
        <v>automotive | Weiß | XL | seo_description_fr</v>
      </c>
      <c r="ET49" t="str">
        <f t="shared" si="73"/>
        <v>automotive | Weiß | XL | seo_keywords_fr</v>
      </c>
      <c r="EU49" t="str">
        <f t="shared" si="73"/>
        <v>automotive | Weiß | XL | title_it</v>
      </c>
      <c r="EV49" t="str">
        <f t="shared" si="73"/>
        <v>automotive | Weiß | XL | description_it</v>
      </c>
      <c r="EW49" t="str">
        <f t="shared" si="73"/>
        <v>automotive | Weiß | XL | bullet1_it</v>
      </c>
      <c r="EX49" t="str">
        <f t="shared" si="73"/>
        <v>automotive | Weiß | XL | bullet2_it</v>
      </c>
      <c r="EY49" t="str">
        <f t="shared" si="73"/>
        <v>automotive | Weiß | XL | bullet3_it</v>
      </c>
      <c r="EZ49" t="str">
        <f t="shared" si="73"/>
        <v>automotive | Weiß | XL | bullet4_it</v>
      </c>
      <c r="FA49" t="str">
        <f t="shared" si="73"/>
        <v>automotive | Weiß | XL | bullet5_it</v>
      </c>
      <c r="FB49" t="str">
        <f t="shared" si="73"/>
        <v>automotive | Weiß | XL | seo_title_it</v>
      </c>
      <c r="FC49" t="str">
        <f t="shared" si="73"/>
        <v>automotive | Weiß | XL | seo_description_it</v>
      </c>
      <c r="FD49" t="str">
        <f t="shared" si="73"/>
        <v>automotive | Weiß | XL | seo_keywords_it</v>
      </c>
      <c r="FE49" t="str">
        <f t="shared" si="73"/>
        <v>automotive | Weiß | XL | title_es</v>
      </c>
      <c r="FF49" t="str">
        <f t="shared" si="73"/>
        <v>automotive | Weiß | XL | description_es</v>
      </c>
      <c r="FG49" t="str">
        <f t="shared" si="73"/>
        <v>automotive | Weiß | XL | bullet1_es</v>
      </c>
      <c r="FH49" t="str">
        <f t="shared" si="73"/>
        <v>automotive | Weiß | XL | bullet2_es</v>
      </c>
      <c r="FI49" t="str">
        <f t="shared" si="73"/>
        <v>automotive | Weiß | XL | bullet3_es</v>
      </c>
      <c r="FJ49" t="str">
        <f t="shared" si="73"/>
        <v>automotive | Weiß | XL | bullet4_es</v>
      </c>
      <c r="FK49" t="str">
        <f t="shared" si="73"/>
        <v>automotive | Weiß | XL | bullet5_es</v>
      </c>
      <c r="FL49" t="str">
        <f t="shared" si="73"/>
        <v>automotive | Weiß | XL | seo_title_es</v>
      </c>
      <c r="FM49" t="str">
        <f t="shared" si="73"/>
        <v>automotive | Weiß | XL | seo_description_es</v>
      </c>
      <c r="FN49" t="str">
        <f t="shared" si="73"/>
        <v>automotive | Weiß | XL | seo_keywords_es</v>
      </c>
      <c r="FO49">
        <f t="shared" si="13"/>
        <v>51.99</v>
      </c>
      <c r="FP49">
        <f t="shared" si="7"/>
        <v>54.99</v>
      </c>
      <c r="FQ49">
        <f t="shared" si="8"/>
        <v>49.99</v>
      </c>
    </row>
    <row r="50" spans="1:173" x14ac:dyDescent="0.35">
      <c r="A50" t="s">
        <v>372</v>
      </c>
      <c r="B50" t="str">
        <f t="shared" si="62"/>
        <v>eco-parent3-160526-Blau-S</v>
      </c>
      <c r="C50" t="s">
        <v>420</v>
      </c>
      <c r="D50" t="s">
        <v>354</v>
      </c>
      <c r="E50">
        <f t="shared" si="63"/>
        <v>3234567899</v>
      </c>
      <c r="F50">
        <f t="shared" si="69"/>
        <v>90</v>
      </c>
      <c r="G50" t="s">
        <v>357</v>
      </c>
      <c r="H50" t="s">
        <v>421</v>
      </c>
      <c r="I50" t="s">
        <v>407</v>
      </c>
      <c r="J50" t="s">
        <v>360</v>
      </c>
      <c r="K50" t="s">
        <v>424</v>
      </c>
      <c r="L50" t="s">
        <v>425</v>
      </c>
      <c r="M50" t="str">
        <f t="shared" si="2"/>
        <v>Ne2</v>
      </c>
      <c r="N50">
        <f t="shared" si="64"/>
        <v>310</v>
      </c>
      <c r="O50">
        <f t="shared" si="10"/>
        <v>44</v>
      </c>
      <c r="P50">
        <f t="shared" ref="P50:Q50" si="76">O50+5</f>
        <v>49</v>
      </c>
      <c r="Q50">
        <f t="shared" si="76"/>
        <v>54</v>
      </c>
      <c r="R50" s="18" t="s">
        <v>446</v>
      </c>
      <c r="S50" s="18" t="s">
        <v>447</v>
      </c>
      <c r="W50" s="18" t="s">
        <v>453</v>
      </c>
      <c r="Y50" t="s">
        <v>415</v>
      </c>
      <c r="AA50" t="s">
        <v>378</v>
      </c>
      <c r="AJ50" t="s">
        <v>364</v>
      </c>
      <c r="AK50">
        <f t="shared" si="66"/>
        <v>320</v>
      </c>
      <c r="AL50">
        <v>1000</v>
      </c>
      <c r="AM50">
        <f t="shared" si="67"/>
        <v>3234576</v>
      </c>
      <c r="AN50">
        <f t="shared" si="67"/>
        <v>32354</v>
      </c>
      <c r="AO50" s="18" t="s">
        <v>454</v>
      </c>
      <c r="AP50" t="s">
        <v>455</v>
      </c>
      <c r="AQ50" s="18" t="s">
        <v>457</v>
      </c>
      <c r="AR50" t="s">
        <v>456</v>
      </c>
      <c r="AY50" t="s">
        <v>458</v>
      </c>
      <c r="AZ50" t="s">
        <v>589</v>
      </c>
      <c r="BA50" t="s">
        <v>613</v>
      </c>
      <c r="BB50" t="s">
        <v>590</v>
      </c>
      <c r="BC50" t="s">
        <v>459</v>
      </c>
      <c r="BD50" t="s">
        <v>591</v>
      </c>
      <c r="DG50" t="str">
        <f t="shared" si="5"/>
        <v>automotive | Blau | S | title_de</v>
      </c>
      <c r="DH50" t="str">
        <f t="shared" si="5"/>
        <v>automotive | Blau | S | description_de</v>
      </c>
      <c r="DI50" t="str">
        <f t="shared" si="5"/>
        <v>automotive | Blau | S | bullet1_de</v>
      </c>
      <c r="DJ50" t="str">
        <f t="shared" si="5"/>
        <v>automotive | Blau | S | bullet2_de</v>
      </c>
      <c r="DK50" t="str">
        <f t="shared" si="5"/>
        <v>automotive | Blau | S | bullet3_de</v>
      </c>
      <c r="DL50" t="str">
        <f t="shared" si="20"/>
        <v>automotive | Blau | S | bullet4_de</v>
      </c>
      <c r="DM50" t="str">
        <f t="shared" si="6"/>
        <v>automotive | Blau | S | bullet5_de</v>
      </c>
      <c r="DN50" t="str">
        <f t="shared" si="6"/>
        <v>automotive | Blau | S | seo_title_de</v>
      </c>
      <c r="DO50" t="str">
        <f t="shared" si="6"/>
        <v>automotive | Blau | S | seo_description_de</v>
      </c>
      <c r="DP50" t="str">
        <f t="shared" si="73"/>
        <v>automotive | Blau | S | seo_keywords_de</v>
      </c>
      <c r="DQ50" t="str">
        <f t="shared" si="73"/>
        <v>automotive | Blau | S | title_en</v>
      </c>
      <c r="DR50" t="str">
        <f t="shared" si="73"/>
        <v>automotive | Blau | S | description_en</v>
      </c>
      <c r="DS50" t="str">
        <f t="shared" si="73"/>
        <v>automotive | Blau | S | bullet1_en</v>
      </c>
      <c r="DT50" t="str">
        <f t="shared" si="73"/>
        <v>automotive | Blau | S | bullet2_en</v>
      </c>
      <c r="DU50" t="str">
        <f t="shared" si="73"/>
        <v>automotive | Blau | S | bullet3_en</v>
      </c>
      <c r="DV50" t="str">
        <f t="shared" si="73"/>
        <v>automotive | Blau | S | bullet4_en</v>
      </c>
      <c r="DW50" t="str">
        <f t="shared" si="73"/>
        <v>automotive | Blau | S | bullet5_en</v>
      </c>
      <c r="DX50" t="str">
        <f t="shared" si="73"/>
        <v>automotive | Blau | S | seo_title_en</v>
      </c>
      <c r="DY50" t="str">
        <f t="shared" si="73"/>
        <v>automotive | Blau | S | seo_description_en</v>
      </c>
      <c r="DZ50" t="str">
        <f t="shared" si="73"/>
        <v>automotive | Blau | S | seo_keywords_en</v>
      </c>
      <c r="EA50" t="str">
        <f t="shared" si="73"/>
        <v>automotive | Blau | S | title_tr</v>
      </c>
      <c r="EB50" t="str">
        <f t="shared" si="73"/>
        <v>automotive | Blau | S | description_tr</v>
      </c>
      <c r="EC50" t="str">
        <f t="shared" si="73"/>
        <v>automotive | Blau | S | bullet1_tr</v>
      </c>
      <c r="ED50" t="str">
        <f t="shared" si="73"/>
        <v>automotive | Blau | S | bullet2_tr</v>
      </c>
      <c r="EE50" t="str">
        <f t="shared" si="73"/>
        <v>automotive | Blau | S | bullet3_tr</v>
      </c>
      <c r="EF50" t="str">
        <f t="shared" si="73"/>
        <v>automotive | Blau | S | bullet4_tr</v>
      </c>
      <c r="EG50" t="str">
        <f t="shared" si="73"/>
        <v>automotive | Blau | S | bullet5_tr</v>
      </c>
      <c r="EH50" t="str">
        <f t="shared" si="73"/>
        <v>automotive | Blau | S | seo_title_tr</v>
      </c>
      <c r="EI50" t="str">
        <f t="shared" si="73"/>
        <v>automotive | Blau | S | seo_description_tr</v>
      </c>
      <c r="EJ50" t="str">
        <f t="shared" si="73"/>
        <v>automotive | Blau | S | seo_keywords_tr</v>
      </c>
      <c r="EK50" t="str">
        <f t="shared" si="73"/>
        <v>automotive | Blau | S | title_fr</v>
      </c>
      <c r="EL50" t="str">
        <f t="shared" si="73"/>
        <v>automotive | Blau | S | description_fr</v>
      </c>
      <c r="EM50" t="str">
        <f t="shared" si="73"/>
        <v>automotive | Blau | S | bullet1_fr</v>
      </c>
      <c r="EN50" t="str">
        <f t="shared" si="73"/>
        <v>automotive | Blau | S | bullet2_fr</v>
      </c>
      <c r="EO50" t="str">
        <f t="shared" si="73"/>
        <v>automotive | Blau | S | bullet3_fr</v>
      </c>
      <c r="EP50" t="str">
        <f t="shared" si="73"/>
        <v>automotive | Blau | S | bullet4_fr</v>
      </c>
      <c r="EQ50" t="str">
        <f t="shared" si="73"/>
        <v>automotive | Blau | S | bullet5_fr</v>
      </c>
      <c r="ER50" t="str">
        <f t="shared" si="73"/>
        <v>automotive | Blau | S | seo_title_fr</v>
      </c>
      <c r="ES50" t="str">
        <f t="shared" si="73"/>
        <v>automotive | Blau | S | seo_description_fr</v>
      </c>
      <c r="ET50" t="str">
        <f t="shared" si="73"/>
        <v>automotive | Blau | S | seo_keywords_fr</v>
      </c>
      <c r="EU50" t="str">
        <f t="shared" si="73"/>
        <v>automotive | Blau | S | title_it</v>
      </c>
      <c r="EV50" t="str">
        <f t="shared" si="73"/>
        <v>automotive | Blau | S | description_it</v>
      </c>
      <c r="EW50" t="str">
        <f t="shared" si="73"/>
        <v>automotive | Blau | S | bullet1_it</v>
      </c>
      <c r="EX50" t="str">
        <f t="shared" si="73"/>
        <v>automotive | Blau | S | bullet2_it</v>
      </c>
      <c r="EY50" t="str">
        <f t="shared" si="73"/>
        <v>automotive | Blau | S | bullet3_it</v>
      </c>
      <c r="EZ50" t="str">
        <f t="shared" si="73"/>
        <v>automotive | Blau | S | bullet4_it</v>
      </c>
      <c r="FA50" t="str">
        <f t="shared" si="73"/>
        <v>automotive | Blau | S | bullet5_it</v>
      </c>
      <c r="FB50" t="str">
        <f t="shared" si="73"/>
        <v>automotive | Blau | S | seo_title_it</v>
      </c>
      <c r="FC50" t="str">
        <f t="shared" si="73"/>
        <v>automotive | Blau | S | seo_description_it</v>
      </c>
      <c r="FD50" t="str">
        <f t="shared" si="73"/>
        <v>automotive | Blau | S | seo_keywords_it</v>
      </c>
      <c r="FE50" t="str">
        <f t="shared" si="73"/>
        <v>automotive | Blau | S | title_es</v>
      </c>
      <c r="FF50" t="str">
        <f t="shared" si="73"/>
        <v>automotive | Blau | S | description_es</v>
      </c>
      <c r="FG50" t="str">
        <f t="shared" si="73"/>
        <v>automotive | Blau | S | bullet1_es</v>
      </c>
      <c r="FH50" t="str">
        <f t="shared" si="73"/>
        <v>automotive | Blau | S | bullet2_es</v>
      </c>
      <c r="FI50" t="str">
        <f t="shared" si="73"/>
        <v>automotive | Blau | S | bullet3_es</v>
      </c>
      <c r="FJ50" t="str">
        <f t="shared" si="73"/>
        <v>automotive | Blau | S | bullet4_es</v>
      </c>
      <c r="FK50" t="str">
        <f t="shared" si="73"/>
        <v>automotive | Blau | S | bullet5_es</v>
      </c>
      <c r="FL50" t="str">
        <f t="shared" si="73"/>
        <v>automotive | Blau | S | seo_title_es</v>
      </c>
      <c r="FM50" t="str">
        <f t="shared" si="73"/>
        <v>automotive | Blau | S | seo_description_es</v>
      </c>
      <c r="FN50" t="str">
        <f t="shared" si="73"/>
        <v>automotive | Blau | S | seo_keywords_es</v>
      </c>
      <c r="FO50">
        <f t="shared" si="13"/>
        <v>52.99</v>
      </c>
      <c r="FP50">
        <f t="shared" si="7"/>
        <v>55.99</v>
      </c>
      <c r="FQ50">
        <f t="shared" si="8"/>
        <v>50.99</v>
      </c>
    </row>
    <row r="51" spans="1:173" x14ac:dyDescent="0.35">
      <c r="A51" t="s">
        <v>372</v>
      </c>
      <c r="B51" t="str">
        <f t="shared" si="62"/>
        <v>eco-parent3-160526-Blau-M</v>
      </c>
      <c r="C51" t="s">
        <v>420</v>
      </c>
      <c r="D51" t="s">
        <v>354</v>
      </c>
      <c r="E51">
        <f t="shared" si="63"/>
        <v>3234567900</v>
      </c>
      <c r="F51">
        <f t="shared" si="69"/>
        <v>100</v>
      </c>
      <c r="G51" t="s">
        <v>357</v>
      </c>
      <c r="H51" t="s">
        <v>421</v>
      </c>
      <c r="I51" t="s">
        <v>407</v>
      </c>
      <c r="J51" t="s">
        <v>360</v>
      </c>
      <c r="K51" t="s">
        <v>424</v>
      </c>
      <c r="L51" t="s">
        <v>425</v>
      </c>
      <c r="M51" t="str">
        <f t="shared" si="2"/>
        <v>Ne2</v>
      </c>
      <c r="N51">
        <f t="shared" si="64"/>
        <v>311</v>
      </c>
      <c r="O51">
        <f t="shared" si="10"/>
        <v>45</v>
      </c>
      <c r="P51">
        <f t="shared" ref="P51:Q51" si="77">O51+5</f>
        <v>50</v>
      </c>
      <c r="Q51">
        <f t="shared" si="77"/>
        <v>55</v>
      </c>
      <c r="R51" s="18" t="s">
        <v>446</v>
      </c>
      <c r="S51" s="18" t="s">
        <v>447</v>
      </c>
      <c r="W51" s="18" t="s">
        <v>453</v>
      </c>
      <c r="Y51" t="s">
        <v>415</v>
      </c>
      <c r="AA51" t="s">
        <v>381</v>
      </c>
      <c r="AJ51" t="s">
        <v>364</v>
      </c>
      <c r="AK51">
        <f t="shared" si="66"/>
        <v>321</v>
      </c>
      <c r="AL51">
        <v>1000</v>
      </c>
      <c r="AM51">
        <f t="shared" si="67"/>
        <v>3234577</v>
      </c>
      <c r="AN51">
        <f t="shared" si="67"/>
        <v>32355</v>
      </c>
      <c r="AO51" s="18" t="s">
        <v>454</v>
      </c>
      <c r="AP51" t="s">
        <v>455</v>
      </c>
      <c r="AQ51" s="18" t="s">
        <v>457</v>
      </c>
      <c r="AR51" t="s">
        <v>456</v>
      </c>
      <c r="AY51" t="s">
        <v>458</v>
      </c>
      <c r="AZ51" t="s">
        <v>592</v>
      </c>
      <c r="BA51" t="s">
        <v>613</v>
      </c>
      <c r="BB51" t="s">
        <v>593</v>
      </c>
      <c r="BC51" t="s">
        <v>459</v>
      </c>
      <c r="BD51" t="s">
        <v>594</v>
      </c>
      <c r="DG51" t="str">
        <f t="shared" si="5"/>
        <v>automotive | Blau | M | title_de</v>
      </c>
      <c r="DH51" t="str">
        <f t="shared" si="5"/>
        <v>automotive | Blau | M | description_de</v>
      </c>
      <c r="DI51" t="str">
        <f t="shared" si="5"/>
        <v>automotive | Blau | M | bullet1_de</v>
      </c>
      <c r="DJ51" t="str">
        <f t="shared" si="5"/>
        <v>automotive | Blau | M | bullet2_de</v>
      </c>
      <c r="DK51" t="str">
        <f t="shared" si="5"/>
        <v>automotive | Blau | M | bullet3_de</v>
      </c>
      <c r="DL51" t="str">
        <f t="shared" si="20"/>
        <v>automotive | Blau | M | bullet4_de</v>
      </c>
      <c r="DM51" t="str">
        <f t="shared" si="6"/>
        <v>automotive | Blau | M | bullet5_de</v>
      </c>
      <c r="DN51" t="str">
        <f t="shared" si="6"/>
        <v>automotive | Blau | M | seo_title_de</v>
      </c>
      <c r="DO51" t="str">
        <f t="shared" si="6"/>
        <v>automotive | Blau | M | seo_description_de</v>
      </c>
      <c r="DP51" t="str">
        <f t="shared" si="73"/>
        <v>automotive | Blau | M | seo_keywords_de</v>
      </c>
      <c r="DQ51" t="str">
        <f t="shared" si="73"/>
        <v>automotive | Blau | M | title_en</v>
      </c>
      <c r="DR51" t="str">
        <f t="shared" si="73"/>
        <v>automotive | Blau | M | description_en</v>
      </c>
      <c r="DS51" t="str">
        <f t="shared" si="73"/>
        <v>automotive | Blau | M | bullet1_en</v>
      </c>
      <c r="DT51" t="str">
        <f t="shared" si="73"/>
        <v>automotive | Blau | M | bullet2_en</v>
      </c>
      <c r="DU51" t="str">
        <f t="shared" si="73"/>
        <v>automotive | Blau | M | bullet3_en</v>
      </c>
      <c r="DV51" t="str">
        <f t="shared" si="73"/>
        <v>automotive | Blau | M | bullet4_en</v>
      </c>
      <c r="DW51" t="str">
        <f t="shared" si="73"/>
        <v>automotive | Blau | M | bullet5_en</v>
      </c>
      <c r="DX51" t="str">
        <f t="shared" si="73"/>
        <v>automotive | Blau | M | seo_title_en</v>
      </c>
      <c r="DY51" t="str">
        <f t="shared" si="73"/>
        <v>automotive | Blau | M | seo_description_en</v>
      </c>
      <c r="DZ51" t="str">
        <f t="shared" si="73"/>
        <v>automotive | Blau | M | seo_keywords_en</v>
      </c>
      <c r="EA51" t="str">
        <f t="shared" si="73"/>
        <v>automotive | Blau | M | title_tr</v>
      </c>
      <c r="EB51" t="str">
        <f t="shared" si="73"/>
        <v>automotive | Blau | M | description_tr</v>
      </c>
      <c r="EC51" t="str">
        <f t="shared" si="73"/>
        <v>automotive | Blau | M | bullet1_tr</v>
      </c>
      <c r="ED51" t="str">
        <f t="shared" si="73"/>
        <v>automotive | Blau | M | bullet2_tr</v>
      </c>
      <c r="EE51" t="str">
        <f t="shared" si="73"/>
        <v>automotive | Blau | M | bullet3_tr</v>
      </c>
      <c r="EF51" t="str">
        <f t="shared" si="73"/>
        <v>automotive | Blau | M | bullet4_tr</v>
      </c>
      <c r="EG51" t="str">
        <f t="shared" si="73"/>
        <v>automotive | Blau | M | bullet5_tr</v>
      </c>
      <c r="EH51" t="str">
        <f t="shared" si="73"/>
        <v>automotive | Blau | M | seo_title_tr</v>
      </c>
      <c r="EI51" t="str">
        <f t="shared" si="73"/>
        <v>automotive | Blau | M | seo_description_tr</v>
      </c>
      <c r="EJ51" t="str">
        <f t="shared" si="73"/>
        <v>automotive | Blau | M | seo_keywords_tr</v>
      </c>
      <c r="EK51" t="str">
        <f t="shared" si="73"/>
        <v>automotive | Blau | M | title_fr</v>
      </c>
      <c r="EL51" t="str">
        <f t="shared" si="73"/>
        <v>automotive | Blau | M | description_fr</v>
      </c>
      <c r="EM51" t="str">
        <f t="shared" si="73"/>
        <v>automotive | Blau | M | bullet1_fr</v>
      </c>
      <c r="EN51" t="str">
        <f t="shared" si="73"/>
        <v>automotive | Blau | M | bullet2_fr</v>
      </c>
      <c r="EO51" t="str">
        <f t="shared" si="73"/>
        <v>automotive | Blau | M | bullet3_fr</v>
      </c>
      <c r="EP51" t="str">
        <f t="shared" si="73"/>
        <v>automotive | Blau | M | bullet4_fr</v>
      </c>
      <c r="EQ51" t="str">
        <f t="shared" si="73"/>
        <v>automotive | Blau | M | bullet5_fr</v>
      </c>
      <c r="ER51" t="str">
        <f t="shared" si="73"/>
        <v>automotive | Blau | M | seo_title_fr</v>
      </c>
      <c r="ES51" t="str">
        <f t="shared" si="73"/>
        <v>automotive | Blau | M | seo_description_fr</v>
      </c>
      <c r="ET51" t="str">
        <f t="shared" si="73"/>
        <v>automotive | Blau | M | seo_keywords_fr</v>
      </c>
      <c r="EU51" t="str">
        <f t="shared" si="73"/>
        <v>automotive | Blau | M | title_it</v>
      </c>
      <c r="EV51" t="str">
        <f t="shared" si="73"/>
        <v>automotive | Blau | M | description_it</v>
      </c>
      <c r="EW51" t="str">
        <f t="shared" si="73"/>
        <v>automotive | Blau | M | bullet1_it</v>
      </c>
      <c r="EX51" t="str">
        <f t="shared" si="73"/>
        <v>automotive | Blau | M | bullet2_it</v>
      </c>
      <c r="EY51" t="str">
        <f t="shared" si="73"/>
        <v>automotive | Blau | M | bullet3_it</v>
      </c>
      <c r="EZ51" t="str">
        <f t="shared" si="73"/>
        <v>automotive | Blau | M | bullet4_it</v>
      </c>
      <c r="FA51" t="str">
        <f t="shared" si="73"/>
        <v>automotive | Blau | M | bullet5_it</v>
      </c>
      <c r="FB51" t="str">
        <f t="shared" si="73"/>
        <v>automotive | Blau | M | seo_title_it</v>
      </c>
      <c r="FC51" t="str">
        <f t="shared" si="73"/>
        <v>automotive | Blau | M | seo_description_it</v>
      </c>
      <c r="FD51" t="str">
        <f t="shared" si="73"/>
        <v>automotive | Blau | M | seo_keywords_it</v>
      </c>
      <c r="FE51" t="str">
        <f t="shared" si="73"/>
        <v>automotive | Blau | M | title_es</v>
      </c>
      <c r="FF51" t="str">
        <f t="shared" si="73"/>
        <v>automotive | Blau | M | description_es</v>
      </c>
      <c r="FG51" t="str">
        <f t="shared" si="73"/>
        <v>automotive | Blau | M | bullet1_es</v>
      </c>
      <c r="FH51" t="str">
        <f t="shared" si="73"/>
        <v>automotive | Blau | M | bullet2_es</v>
      </c>
      <c r="FI51" t="str">
        <f t="shared" si="73"/>
        <v>automotive | Blau | M | bullet3_es</v>
      </c>
      <c r="FJ51" t="str">
        <f t="shared" si="73"/>
        <v>automotive | Blau | M | bullet4_es</v>
      </c>
      <c r="FK51" t="str">
        <f t="shared" si="73"/>
        <v>automotive | Blau | M | bullet5_es</v>
      </c>
      <c r="FL51" t="str">
        <f t="shared" si="73"/>
        <v>automotive | Blau | M | seo_title_es</v>
      </c>
      <c r="FM51" t="str">
        <f t="shared" si="73"/>
        <v>automotive | Blau | M | seo_description_es</v>
      </c>
      <c r="FN51" t="str">
        <f t="shared" si="73"/>
        <v>automotive | Blau | M | seo_keywords_es</v>
      </c>
      <c r="FO51">
        <f t="shared" si="13"/>
        <v>53.99</v>
      </c>
      <c r="FP51">
        <f t="shared" si="7"/>
        <v>56.99</v>
      </c>
      <c r="FQ51">
        <f t="shared" si="8"/>
        <v>51.99</v>
      </c>
    </row>
    <row r="52" spans="1:173" x14ac:dyDescent="0.35">
      <c r="A52" t="s">
        <v>372</v>
      </c>
      <c r="B52" t="str">
        <f t="shared" si="62"/>
        <v>eco-parent3-160526-Blau-L</v>
      </c>
      <c r="C52" t="s">
        <v>420</v>
      </c>
      <c r="D52" t="s">
        <v>354</v>
      </c>
      <c r="E52">
        <f t="shared" si="63"/>
        <v>3234567901</v>
      </c>
      <c r="F52">
        <f t="shared" si="69"/>
        <v>110</v>
      </c>
      <c r="G52" t="s">
        <v>357</v>
      </c>
      <c r="H52" t="s">
        <v>421</v>
      </c>
      <c r="I52" t="s">
        <v>407</v>
      </c>
      <c r="J52" t="s">
        <v>360</v>
      </c>
      <c r="K52" t="s">
        <v>424</v>
      </c>
      <c r="L52" t="s">
        <v>425</v>
      </c>
      <c r="M52" t="str">
        <f t="shared" si="2"/>
        <v>Ne2</v>
      </c>
      <c r="N52">
        <f t="shared" si="64"/>
        <v>312</v>
      </c>
      <c r="O52">
        <f t="shared" si="10"/>
        <v>46</v>
      </c>
      <c r="P52">
        <f t="shared" ref="P52:Q52" si="78">O52+5</f>
        <v>51</v>
      </c>
      <c r="Q52">
        <f t="shared" si="78"/>
        <v>56</v>
      </c>
      <c r="R52" s="18" t="s">
        <v>446</v>
      </c>
      <c r="S52" s="18" t="s">
        <v>447</v>
      </c>
      <c r="W52" s="18" t="s">
        <v>453</v>
      </c>
      <c r="Y52" t="s">
        <v>415</v>
      </c>
      <c r="AA52" t="s">
        <v>406</v>
      </c>
      <c r="AJ52" t="s">
        <v>364</v>
      </c>
      <c r="AK52">
        <f t="shared" si="66"/>
        <v>322</v>
      </c>
      <c r="AL52">
        <v>1000</v>
      </c>
      <c r="AM52">
        <f t="shared" si="67"/>
        <v>3234578</v>
      </c>
      <c r="AN52">
        <f t="shared" si="67"/>
        <v>32356</v>
      </c>
      <c r="AO52" s="18" t="s">
        <v>454</v>
      </c>
      <c r="AP52" t="s">
        <v>455</v>
      </c>
      <c r="AQ52" s="18" t="s">
        <v>457</v>
      </c>
      <c r="AR52" t="s">
        <v>456</v>
      </c>
      <c r="AY52" t="s">
        <v>458</v>
      </c>
      <c r="AZ52" t="s">
        <v>595</v>
      </c>
      <c r="BA52" t="s">
        <v>613</v>
      </c>
      <c r="BB52" t="s">
        <v>596</v>
      </c>
      <c r="BC52" t="s">
        <v>459</v>
      </c>
      <c r="BD52" t="s">
        <v>597</v>
      </c>
      <c r="DG52" t="str">
        <f t="shared" si="5"/>
        <v>automotive | Blau | L | title_de</v>
      </c>
      <c r="DH52" t="str">
        <f t="shared" si="5"/>
        <v>automotive | Blau | L | description_de</v>
      </c>
      <c r="DI52" t="str">
        <f t="shared" si="5"/>
        <v>automotive | Blau | L | bullet1_de</v>
      </c>
      <c r="DJ52" t="str">
        <f t="shared" si="5"/>
        <v>automotive | Blau | L | bullet2_de</v>
      </c>
      <c r="DK52" t="str">
        <f t="shared" si="5"/>
        <v>automotive | Blau | L | bullet3_de</v>
      </c>
      <c r="DL52" t="str">
        <f t="shared" si="20"/>
        <v>automotive | Blau | L | bullet4_de</v>
      </c>
      <c r="DM52" t="str">
        <f t="shared" si="6"/>
        <v>automotive | Blau | L | bullet5_de</v>
      </c>
      <c r="DN52" t="str">
        <f t="shared" si="6"/>
        <v>automotive | Blau | L | seo_title_de</v>
      </c>
      <c r="DO52" t="str">
        <f t="shared" si="6"/>
        <v>automotive | Blau | L | seo_description_de</v>
      </c>
      <c r="DP52" t="str">
        <f t="shared" si="73"/>
        <v>automotive | Blau | L | seo_keywords_de</v>
      </c>
      <c r="DQ52" t="str">
        <f t="shared" si="73"/>
        <v>automotive | Blau | L | title_en</v>
      </c>
      <c r="DR52" t="str">
        <f t="shared" si="73"/>
        <v>automotive | Blau | L | description_en</v>
      </c>
      <c r="DS52" t="str">
        <f t="shared" si="73"/>
        <v>automotive | Blau | L | bullet1_en</v>
      </c>
      <c r="DT52" t="str">
        <f t="shared" si="73"/>
        <v>automotive | Blau | L | bullet2_en</v>
      </c>
      <c r="DU52" t="str">
        <f t="shared" si="73"/>
        <v>automotive | Blau | L | bullet3_en</v>
      </c>
      <c r="DV52" t="str">
        <f t="shared" si="73"/>
        <v>automotive | Blau | L | bullet4_en</v>
      </c>
      <c r="DW52" t="str">
        <f t="shared" si="73"/>
        <v>automotive | Blau | L | bullet5_en</v>
      </c>
      <c r="DX52" t="str">
        <f t="shared" si="73"/>
        <v>automotive | Blau | L | seo_title_en</v>
      </c>
      <c r="DY52" t="str">
        <f t="shared" si="73"/>
        <v>automotive | Blau | L | seo_description_en</v>
      </c>
      <c r="DZ52" t="str">
        <f t="shared" si="73"/>
        <v>automotive | Blau | L | seo_keywords_en</v>
      </c>
      <c r="EA52" t="str">
        <f t="shared" si="73"/>
        <v>automotive | Blau | L | title_tr</v>
      </c>
      <c r="EB52" t="str">
        <f t="shared" si="73"/>
        <v>automotive | Blau | L | description_tr</v>
      </c>
      <c r="EC52" t="str">
        <f t="shared" ref="DP52:FN57" si="79">MID($I52,1,FIND("-",$I52,1)-1)&amp;" | "&amp;$Y52&amp;" | "&amp;$AA52&amp;" | "&amp;EC$2</f>
        <v>automotive | Blau | L | bullet1_tr</v>
      </c>
      <c r="ED52" t="str">
        <f t="shared" si="79"/>
        <v>automotive | Blau | L | bullet2_tr</v>
      </c>
      <c r="EE52" t="str">
        <f t="shared" si="79"/>
        <v>automotive | Blau | L | bullet3_tr</v>
      </c>
      <c r="EF52" t="str">
        <f t="shared" si="79"/>
        <v>automotive | Blau | L | bullet4_tr</v>
      </c>
      <c r="EG52" t="str">
        <f t="shared" si="79"/>
        <v>automotive | Blau | L | bullet5_tr</v>
      </c>
      <c r="EH52" t="str">
        <f t="shared" si="79"/>
        <v>automotive | Blau | L | seo_title_tr</v>
      </c>
      <c r="EI52" t="str">
        <f t="shared" si="79"/>
        <v>automotive | Blau | L | seo_description_tr</v>
      </c>
      <c r="EJ52" t="str">
        <f t="shared" si="79"/>
        <v>automotive | Blau | L | seo_keywords_tr</v>
      </c>
      <c r="EK52" t="str">
        <f t="shared" si="79"/>
        <v>automotive | Blau | L | title_fr</v>
      </c>
      <c r="EL52" t="str">
        <f t="shared" si="79"/>
        <v>automotive | Blau | L | description_fr</v>
      </c>
      <c r="EM52" t="str">
        <f t="shared" si="79"/>
        <v>automotive | Blau | L | bullet1_fr</v>
      </c>
      <c r="EN52" t="str">
        <f t="shared" si="79"/>
        <v>automotive | Blau | L | bullet2_fr</v>
      </c>
      <c r="EO52" t="str">
        <f t="shared" si="79"/>
        <v>automotive | Blau | L | bullet3_fr</v>
      </c>
      <c r="EP52" t="str">
        <f t="shared" si="79"/>
        <v>automotive | Blau | L | bullet4_fr</v>
      </c>
      <c r="EQ52" t="str">
        <f t="shared" si="79"/>
        <v>automotive | Blau | L | bullet5_fr</v>
      </c>
      <c r="ER52" t="str">
        <f t="shared" si="79"/>
        <v>automotive | Blau | L | seo_title_fr</v>
      </c>
      <c r="ES52" t="str">
        <f t="shared" si="79"/>
        <v>automotive | Blau | L | seo_description_fr</v>
      </c>
      <c r="ET52" t="str">
        <f t="shared" si="79"/>
        <v>automotive | Blau | L | seo_keywords_fr</v>
      </c>
      <c r="EU52" t="str">
        <f t="shared" si="79"/>
        <v>automotive | Blau | L | title_it</v>
      </c>
      <c r="EV52" t="str">
        <f t="shared" si="79"/>
        <v>automotive | Blau | L | description_it</v>
      </c>
      <c r="EW52" t="str">
        <f t="shared" si="79"/>
        <v>automotive | Blau | L | bullet1_it</v>
      </c>
      <c r="EX52" t="str">
        <f t="shared" si="79"/>
        <v>automotive | Blau | L | bullet2_it</v>
      </c>
      <c r="EY52" t="str">
        <f t="shared" si="79"/>
        <v>automotive | Blau | L | bullet3_it</v>
      </c>
      <c r="EZ52" t="str">
        <f t="shared" si="79"/>
        <v>automotive | Blau | L | bullet4_it</v>
      </c>
      <c r="FA52" t="str">
        <f t="shared" si="79"/>
        <v>automotive | Blau | L | bullet5_it</v>
      </c>
      <c r="FB52" t="str">
        <f t="shared" si="79"/>
        <v>automotive | Blau | L | seo_title_it</v>
      </c>
      <c r="FC52" t="str">
        <f t="shared" si="79"/>
        <v>automotive | Blau | L | seo_description_it</v>
      </c>
      <c r="FD52" t="str">
        <f t="shared" si="79"/>
        <v>automotive | Blau | L | seo_keywords_it</v>
      </c>
      <c r="FE52" t="str">
        <f t="shared" si="79"/>
        <v>automotive | Blau | L | title_es</v>
      </c>
      <c r="FF52" t="str">
        <f t="shared" si="79"/>
        <v>automotive | Blau | L | description_es</v>
      </c>
      <c r="FG52" t="str">
        <f t="shared" si="79"/>
        <v>automotive | Blau | L | bullet1_es</v>
      </c>
      <c r="FH52" t="str">
        <f t="shared" si="79"/>
        <v>automotive | Blau | L | bullet2_es</v>
      </c>
      <c r="FI52" t="str">
        <f t="shared" si="79"/>
        <v>automotive | Blau | L | bullet3_es</v>
      </c>
      <c r="FJ52" t="str">
        <f t="shared" si="79"/>
        <v>automotive | Blau | L | bullet4_es</v>
      </c>
      <c r="FK52" t="str">
        <f t="shared" si="79"/>
        <v>automotive | Blau | L | bullet5_es</v>
      </c>
      <c r="FL52" t="str">
        <f t="shared" si="79"/>
        <v>automotive | Blau | L | seo_title_es</v>
      </c>
      <c r="FM52" t="str">
        <f t="shared" si="79"/>
        <v>automotive | Blau | L | seo_description_es</v>
      </c>
      <c r="FN52" t="str">
        <f t="shared" si="79"/>
        <v>automotive | Blau | L | seo_keywords_es</v>
      </c>
      <c r="FO52">
        <f t="shared" si="13"/>
        <v>54.99</v>
      </c>
      <c r="FP52">
        <f t="shared" si="7"/>
        <v>57.99</v>
      </c>
      <c r="FQ52">
        <f t="shared" si="8"/>
        <v>52.99</v>
      </c>
    </row>
    <row r="53" spans="1:173" x14ac:dyDescent="0.35">
      <c r="A53" t="s">
        <v>372</v>
      </c>
      <c r="B53" t="str">
        <f t="shared" si="62"/>
        <v>eco-parent3-160526-Blau-XL</v>
      </c>
      <c r="C53" t="s">
        <v>420</v>
      </c>
      <c r="D53" t="s">
        <v>354</v>
      </c>
      <c r="E53">
        <f t="shared" si="63"/>
        <v>3234567902</v>
      </c>
      <c r="F53">
        <f t="shared" si="69"/>
        <v>120</v>
      </c>
      <c r="G53" t="s">
        <v>357</v>
      </c>
      <c r="H53" t="s">
        <v>421</v>
      </c>
      <c r="I53" t="s">
        <v>407</v>
      </c>
      <c r="J53" t="s">
        <v>360</v>
      </c>
      <c r="K53" t="s">
        <v>424</v>
      </c>
      <c r="L53" t="s">
        <v>425</v>
      </c>
      <c r="M53" t="str">
        <f t="shared" si="2"/>
        <v>Ne2</v>
      </c>
      <c r="N53">
        <f t="shared" si="64"/>
        <v>313</v>
      </c>
      <c r="O53">
        <f t="shared" si="10"/>
        <v>47</v>
      </c>
      <c r="P53">
        <f t="shared" ref="P53:Q53" si="80">O53+5</f>
        <v>52</v>
      </c>
      <c r="Q53">
        <f t="shared" si="80"/>
        <v>57</v>
      </c>
      <c r="R53" s="18" t="s">
        <v>446</v>
      </c>
      <c r="S53" s="18" t="s">
        <v>447</v>
      </c>
      <c r="W53" s="18" t="s">
        <v>453</v>
      </c>
      <c r="Y53" t="s">
        <v>415</v>
      </c>
      <c r="AA53" t="s">
        <v>412</v>
      </c>
      <c r="AJ53" t="s">
        <v>364</v>
      </c>
      <c r="AK53">
        <f t="shared" si="66"/>
        <v>323</v>
      </c>
      <c r="AL53">
        <v>1000</v>
      </c>
      <c r="AM53">
        <f t="shared" si="67"/>
        <v>3234579</v>
      </c>
      <c r="AN53">
        <f t="shared" si="67"/>
        <v>32357</v>
      </c>
      <c r="AO53" s="18" t="s">
        <v>454</v>
      </c>
      <c r="AP53" t="s">
        <v>455</v>
      </c>
      <c r="AQ53" s="18" t="s">
        <v>457</v>
      </c>
      <c r="AR53" t="s">
        <v>456</v>
      </c>
      <c r="AY53" t="s">
        <v>458</v>
      </c>
      <c r="AZ53" t="s">
        <v>598</v>
      </c>
      <c r="BA53" t="s">
        <v>613</v>
      </c>
      <c r="BB53" t="s">
        <v>599</v>
      </c>
      <c r="BC53" t="s">
        <v>459</v>
      </c>
      <c r="BD53" t="s">
        <v>600</v>
      </c>
      <c r="DG53" t="str">
        <f t="shared" si="5"/>
        <v>automotive | Blau | XL | title_de</v>
      </c>
      <c r="DH53" t="str">
        <f t="shared" si="5"/>
        <v>automotive | Blau | XL | description_de</v>
      </c>
      <c r="DI53" t="str">
        <f t="shared" si="5"/>
        <v>automotive | Blau | XL | bullet1_de</v>
      </c>
      <c r="DJ53" t="str">
        <f t="shared" si="5"/>
        <v>automotive | Blau | XL | bullet2_de</v>
      </c>
      <c r="DK53" t="str">
        <f t="shared" si="5"/>
        <v>automotive | Blau | XL | bullet3_de</v>
      </c>
      <c r="DL53" t="str">
        <f t="shared" si="20"/>
        <v>automotive | Blau | XL | bullet4_de</v>
      </c>
      <c r="DM53" t="str">
        <f t="shared" si="6"/>
        <v>automotive | Blau | XL | bullet5_de</v>
      </c>
      <c r="DN53" t="str">
        <f t="shared" si="6"/>
        <v>automotive | Blau | XL | seo_title_de</v>
      </c>
      <c r="DO53" t="str">
        <f t="shared" si="6"/>
        <v>automotive | Blau | XL | seo_description_de</v>
      </c>
      <c r="DP53" t="str">
        <f t="shared" si="79"/>
        <v>automotive | Blau | XL | seo_keywords_de</v>
      </c>
      <c r="DQ53" t="str">
        <f t="shared" si="79"/>
        <v>automotive | Blau | XL | title_en</v>
      </c>
      <c r="DR53" t="str">
        <f t="shared" si="79"/>
        <v>automotive | Blau | XL | description_en</v>
      </c>
      <c r="DS53" t="str">
        <f t="shared" si="79"/>
        <v>automotive | Blau | XL | bullet1_en</v>
      </c>
      <c r="DT53" t="str">
        <f t="shared" si="79"/>
        <v>automotive | Blau | XL | bullet2_en</v>
      </c>
      <c r="DU53" t="str">
        <f t="shared" si="79"/>
        <v>automotive | Blau | XL | bullet3_en</v>
      </c>
      <c r="DV53" t="str">
        <f t="shared" si="79"/>
        <v>automotive | Blau | XL | bullet4_en</v>
      </c>
      <c r="DW53" t="str">
        <f t="shared" si="79"/>
        <v>automotive | Blau | XL | bullet5_en</v>
      </c>
      <c r="DX53" t="str">
        <f t="shared" si="79"/>
        <v>automotive | Blau | XL | seo_title_en</v>
      </c>
      <c r="DY53" t="str">
        <f t="shared" si="79"/>
        <v>automotive | Blau | XL | seo_description_en</v>
      </c>
      <c r="DZ53" t="str">
        <f t="shared" si="79"/>
        <v>automotive | Blau | XL | seo_keywords_en</v>
      </c>
      <c r="EA53" t="str">
        <f t="shared" si="79"/>
        <v>automotive | Blau | XL | title_tr</v>
      </c>
      <c r="EB53" t="str">
        <f t="shared" si="79"/>
        <v>automotive | Blau | XL | description_tr</v>
      </c>
      <c r="EC53" t="str">
        <f t="shared" si="79"/>
        <v>automotive | Blau | XL | bullet1_tr</v>
      </c>
      <c r="ED53" t="str">
        <f t="shared" si="79"/>
        <v>automotive | Blau | XL | bullet2_tr</v>
      </c>
      <c r="EE53" t="str">
        <f t="shared" si="79"/>
        <v>automotive | Blau | XL | bullet3_tr</v>
      </c>
      <c r="EF53" t="str">
        <f t="shared" si="79"/>
        <v>automotive | Blau | XL | bullet4_tr</v>
      </c>
      <c r="EG53" t="str">
        <f t="shared" si="79"/>
        <v>automotive | Blau | XL | bullet5_tr</v>
      </c>
      <c r="EH53" t="str">
        <f t="shared" si="79"/>
        <v>automotive | Blau | XL | seo_title_tr</v>
      </c>
      <c r="EI53" t="str">
        <f t="shared" si="79"/>
        <v>automotive | Blau | XL | seo_description_tr</v>
      </c>
      <c r="EJ53" t="str">
        <f t="shared" si="79"/>
        <v>automotive | Blau | XL | seo_keywords_tr</v>
      </c>
      <c r="EK53" t="str">
        <f t="shared" si="79"/>
        <v>automotive | Blau | XL | title_fr</v>
      </c>
      <c r="EL53" t="str">
        <f t="shared" si="79"/>
        <v>automotive | Blau | XL | description_fr</v>
      </c>
      <c r="EM53" t="str">
        <f t="shared" si="79"/>
        <v>automotive | Blau | XL | bullet1_fr</v>
      </c>
      <c r="EN53" t="str">
        <f t="shared" si="79"/>
        <v>automotive | Blau | XL | bullet2_fr</v>
      </c>
      <c r="EO53" t="str">
        <f t="shared" si="79"/>
        <v>automotive | Blau | XL | bullet3_fr</v>
      </c>
      <c r="EP53" t="str">
        <f t="shared" si="79"/>
        <v>automotive | Blau | XL | bullet4_fr</v>
      </c>
      <c r="EQ53" t="str">
        <f t="shared" si="79"/>
        <v>automotive | Blau | XL | bullet5_fr</v>
      </c>
      <c r="ER53" t="str">
        <f t="shared" si="79"/>
        <v>automotive | Blau | XL | seo_title_fr</v>
      </c>
      <c r="ES53" t="str">
        <f t="shared" si="79"/>
        <v>automotive | Blau | XL | seo_description_fr</v>
      </c>
      <c r="ET53" t="str">
        <f t="shared" si="79"/>
        <v>automotive | Blau | XL | seo_keywords_fr</v>
      </c>
      <c r="EU53" t="str">
        <f t="shared" si="79"/>
        <v>automotive | Blau | XL | title_it</v>
      </c>
      <c r="EV53" t="str">
        <f t="shared" si="79"/>
        <v>automotive | Blau | XL | description_it</v>
      </c>
      <c r="EW53" t="str">
        <f t="shared" si="79"/>
        <v>automotive | Blau | XL | bullet1_it</v>
      </c>
      <c r="EX53" t="str">
        <f t="shared" si="79"/>
        <v>automotive | Blau | XL | bullet2_it</v>
      </c>
      <c r="EY53" t="str">
        <f t="shared" si="79"/>
        <v>automotive | Blau | XL | bullet3_it</v>
      </c>
      <c r="EZ53" t="str">
        <f t="shared" si="79"/>
        <v>automotive | Blau | XL | bullet4_it</v>
      </c>
      <c r="FA53" t="str">
        <f t="shared" si="79"/>
        <v>automotive | Blau | XL | bullet5_it</v>
      </c>
      <c r="FB53" t="str">
        <f t="shared" si="79"/>
        <v>automotive | Blau | XL | seo_title_it</v>
      </c>
      <c r="FC53" t="str">
        <f t="shared" si="79"/>
        <v>automotive | Blau | XL | seo_description_it</v>
      </c>
      <c r="FD53" t="str">
        <f t="shared" si="79"/>
        <v>automotive | Blau | XL | seo_keywords_it</v>
      </c>
      <c r="FE53" t="str">
        <f t="shared" si="79"/>
        <v>automotive | Blau | XL | title_es</v>
      </c>
      <c r="FF53" t="str">
        <f t="shared" si="79"/>
        <v>automotive | Blau | XL | description_es</v>
      </c>
      <c r="FG53" t="str">
        <f t="shared" si="79"/>
        <v>automotive | Blau | XL | bullet1_es</v>
      </c>
      <c r="FH53" t="str">
        <f t="shared" si="79"/>
        <v>automotive | Blau | XL | bullet2_es</v>
      </c>
      <c r="FI53" t="str">
        <f t="shared" si="79"/>
        <v>automotive | Blau | XL | bullet3_es</v>
      </c>
      <c r="FJ53" t="str">
        <f t="shared" si="79"/>
        <v>automotive | Blau | XL | bullet4_es</v>
      </c>
      <c r="FK53" t="str">
        <f t="shared" si="79"/>
        <v>automotive | Blau | XL | bullet5_es</v>
      </c>
      <c r="FL53" t="str">
        <f t="shared" si="79"/>
        <v>automotive | Blau | XL | seo_title_es</v>
      </c>
      <c r="FM53" t="str">
        <f t="shared" si="79"/>
        <v>automotive | Blau | XL | seo_description_es</v>
      </c>
      <c r="FN53" t="str">
        <f t="shared" si="79"/>
        <v>automotive | Blau | XL | seo_keywords_es</v>
      </c>
      <c r="FO53">
        <f t="shared" si="13"/>
        <v>55.99</v>
      </c>
      <c r="FP53">
        <f t="shared" si="7"/>
        <v>58.99</v>
      </c>
      <c r="FQ53">
        <f t="shared" si="8"/>
        <v>53.99</v>
      </c>
    </row>
    <row r="54" spans="1:173" x14ac:dyDescent="0.35">
      <c r="A54" t="s">
        <v>372</v>
      </c>
      <c r="B54" t="str">
        <f t="shared" si="62"/>
        <v>eco-parent3-160526-Rot-S</v>
      </c>
      <c r="C54" t="s">
        <v>420</v>
      </c>
      <c r="D54" t="s">
        <v>354</v>
      </c>
      <c r="E54">
        <f t="shared" si="63"/>
        <v>3234567903</v>
      </c>
      <c r="F54">
        <f t="shared" si="69"/>
        <v>130</v>
      </c>
      <c r="G54" t="s">
        <v>357</v>
      </c>
      <c r="H54" t="s">
        <v>421</v>
      </c>
      <c r="I54" t="s">
        <v>407</v>
      </c>
      <c r="J54" t="s">
        <v>360</v>
      </c>
      <c r="K54" t="s">
        <v>424</v>
      </c>
      <c r="L54" t="s">
        <v>425</v>
      </c>
      <c r="M54" t="str">
        <f t="shared" si="2"/>
        <v>Ne2</v>
      </c>
      <c r="N54">
        <f t="shared" si="64"/>
        <v>314</v>
      </c>
      <c r="O54">
        <f t="shared" si="10"/>
        <v>48</v>
      </c>
      <c r="P54">
        <f t="shared" ref="P54:Q54" si="81">O54+5</f>
        <v>53</v>
      </c>
      <c r="Q54">
        <f t="shared" si="81"/>
        <v>58</v>
      </c>
      <c r="R54" s="18" t="s">
        <v>448</v>
      </c>
      <c r="S54" s="18" t="s">
        <v>449</v>
      </c>
      <c r="W54" s="18" t="s">
        <v>452</v>
      </c>
      <c r="Y54" t="s">
        <v>377</v>
      </c>
      <c r="AA54" t="s">
        <v>378</v>
      </c>
      <c r="AJ54" t="s">
        <v>364</v>
      </c>
      <c r="AK54">
        <f t="shared" si="66"/>
        <v>324</v>
      </c>
      <c r="AL54">
        <v>1000</v>
      </c>
      <c r="AM54">
        <f t="shared" si="67"/>
        <v>3234580</v>
      </c>
      <c r="AN54">
        <f t="shared" si="67"/>
        <v>32358</v>
      </c>
      <c r="AO54" s="18" t="s">
        <v>454</v>
      </c>
      <c r="AP54" t="s">
        <v>455</v>
      </c>
      <c r="AQ54" s="18" t="s">
        <v>457</v>
      </c>
      <c r="AR54" t="s">
        <v>456</v>
      </c>
      <c r="AY54" t="s">
        <v>458</v>
      </c>
      <c r="AZ54" t="s">
        <v>601</v>
      </c>
      <c r="BA54" t="s">
        <v>613</v>
      </c>
      <c r="BB54" t="s">
        <v>602</v>
      </c>
      <c r="BC54" t="s">
        <v>459</v>
      </c>
      <c r="BD54" t="s">
        <v>603</v>
      </c>
      <c r="DG54" t="str">
        <f t="shared" si="5"/>
        <v>automotive | Rot | S | title_de</v>
      </c>
      <c r="DH54" t="str">
        <f t="shared" si="5"/>
        <v>automotive | Rot | S | description_de</v>
      </c>
      <c r="DI54" t="str">
        <f t="shared" si="5"/>
        <v>automotive | Rot | S | bullet1_de</v>
      </c>
      <c r="DJ54" t="str">
        <f t="shared" si="5"/>
        <v>automotive | Rot | S | bullet2_de</v>
      </c>
      <c r="DK54" t="str">
        <f t="shared" si="5"/>
        <v>automotive | Rot | S | bullet3_de</v>
      </c>
      <c r="DL54" t="str">
        <f t="shared" si="20"/>
        <v>automotive | Rot | S | bullet4_de</v>
      </c>
      <c r="DM54" t="str">
        <f t="shared" si="6"/>
        <v>automotive | Rot | S | bullet5_de</v>
      </c>
      <c r="DN54" t="str">
        <f t="shared" si="6"/>
        <v>automotive | Rot | S | seo_title_de</v>
      </c>
      <c r="DO54" t="str">
        <f t="shared" si="6"/>
        <v>automotive | Rot | S | seo_description_de</v>
      </c>
      <c r="DP54" t="str">
        <f t="shared" si="79"/>
        <v>automotive | Rot | S | seo_keywords_de</v>
      </c>
      <c r="DQ54" t="str">
        <f t="shared" si="79"/>
        <v>automotive | Rot | S | title_en</v>
      </c>
      <c r="DR54" t="str">
        <f t="shared" si="79"/>
        <v>automotive | Rot | S | description_en</v>
      </c>
      <c r="DS54" t="str">
        <f t="shared" si="79"/>
        <v>automotive | Rot | S | bullet1_en</v>
      </c>
      <c r="DT54" t="str">
        <f t="shared" si="79"/>
        <v>automotive | Rot | S | bullet2_en</v>
      </c>
      <c r="DU54" t="str">
        <f t="shared" si="79"/>
        <v>automotive | Rot | S | bullet3_en</v>
      </c>
      <c r="DV54" t="str">
        <f t="shared" si="79"/>
        <v>automotive | Rot | S | bullet4_en</v>
      </c>
      <c r="DW54" t="str">
        <f t="shared" si="79"/>
        <v>automotive | Rot | S | bullet5_en</v>
      </c>
      <c r="DX54" t="str">
        <f t="shared" si="79"/>
        <v>automotive | Rot | S | seo_title_en</v>
      </c>
      <c r="DY54" t="str">
        <f t="shared" si="79"/>
        <v>automotive | Rot | S | seo_description_en</v>
      </c>
      <c r="DZ54" t="str">
        <f t="shared" si="79"/>
        <v>automotive | Rot | S | seo_keywords_en</v>
      </c>
      <c r="EA54" t="str">
        <f t="shared" si="79"/>
        <v>automotive | Rot | S | title_tr</v>
      </c>
      <c r="EB54" t="str">
        <f t="shared" si="79"/>
        <v>automotive | Rot | S | description_tr</v>
      </c>
      <c r="EC54" t="str">
        <f t="shared" si="79"/>
        <v>automotive | Rot | S | bullet1_tr</v>
      </c>
      <c r="ED54" t="str">
        <f t="shared" si="79"/>
        <v>automotive | Rot | S | bullet2_tr</v>
      </c>
      <c r="EE54" t="str">
        <f t="shared" si="79"/>
        <v>automotive | Rot | S | bullet3_tr</v>
      </c>
      <c r="EF54" t="str">
        <f t="shared" si="79"/>
        <v>automotive | Rot | S | bullet4_tr</v>
      </c>
      <c r="EG54" t="str">
        <f t="shared" si="79"/>
        <v>automotive | Rot | S | bullet5_tr</v>
      </c>
      <c r="EH54" t="str">
        <f t="shared" si="79"/>
        <v>automotive | Rot | S | seo_title_tr</v>
      </c>
      <c r="EI54" t="str">
        <f t="shared" si="79"/>
        <v>automotive | Rot | S | seo_description_tr</v>
      </c>
      <c r="EJ54" t="str">
        <f t="shared" si="79"/>
        <v>automotive | Rot | S | seo_keywords_tr</v>
      </c>
      <c r="EK54" t="str">
        <f t="shared" si="79"/>
        <v>automotive | Rot | S | title_fr</v>
      </c>
      <c r="EL54" t="str">
        <f t="shared" si="79"/>
        <v>automotive | Rot | S | description_fr</v>
      </c>
      <c r="EM54" t="str">
        <f t="shared" si="79"/>
        <v>automotive | Rot | S | bullet1_fr</v>
      </c>
      <c r="EN54" t="str">
        <f t="shared" si="79"/>
        <v>automotive | Rot | S | bullet2_fr</v>
      </c>
      <c r="EO54" t="str">
        <f t="shared" si="79"/>
        <v>automotive | Rot | S | bullet3_fr</v>
      </c>
      <c r="EP54" t="str">
        <f t="shared" si="79"/>
        <v>automotive | Rot | S | bullet4_fr</v>
      </c>
      <c r="EQ54" t="str">
        <f t="shared" si="79"/>
        <v>automotive | Rot | S | bullet5_fr</v>
      </c>
      <c r="ER54" t="str">
        <f t="shared" si="79"/>
        <v>automotive | Rot | S | seo_title_fr</v>
      </c>
      <c r="ES54" t="str">
        <f t="shared" si="79"/>
        <v>automotive | Rot | S | seo_description_fr</v>
      </c>
      <c r="ET54" t="str">
        <f t="shared" si="79"/>
        <v>automotive | Rot | S | seo_keywords_fr</v>
      </c>
      <c r="EU54" t="str">
        <f t="shared" si="79"/>
        <v>automotive | Rot | S | title_it</v>
      </c>
      <c r="EV54" t="str">
        <f t="shared" si="79"/>
        <v>automotive | Rot | S | description_it</v>
      </c>
      <c r="EW54" t="str">
        <f t="shared" si="79"/>
        <v>automotive | Rot | S | bullet1_it</v>
      </c>
      <c r="EX54" t="str">
        <f t="shared" si="79"/>
        <v>automotive | Rot | S | bullet2_it</v>
      </c>
      <c r="EY54" t="str">
        <f t="shared" si="79"/>
        <v>automotive | Rot | S | bullet3_it</v>
      </c>
      <c r="EZ54" t="str">
        <f t="shared" si="79"/>
        <v>automotive | Rot | S | bullet4_it</v>
      </c>
      <c r="FA54" t="str">
        <f t="shared" si="79"/>
        <v>automotive | Rot | S | bullet5_it</v>
      </c>
      <c r="FB54" t="str">
        <f t="shared" si="79"/>
        <v>automotive | Rot | S | seo_title_it</v>
      </c>
      <c r="FC54" t="str">
        <f t="shared" si="79"/>
        <v>automotive | Rot | S | seo_description_it</v>
      </c>
      <c r="FD54" t="str">
        <f t="shared" si="79"/>
        <v>automotive | Rot | S | seo_keywords_it</v>
      </c>
      <c r="FE54" t="str">
        <f t="shared" si="79"/>
        <v>automotive | Rot | S | title_es</v>
      </c>
      <c r="FF54" t="str">
        <f t="shared" si="79"/>
        <v>automotive | Rot | S | description_es</v>
      </c>
      <c r="FG54" t="str">
        <f t="shared" si="79"/>
        <v>automotive | Rot | S | bullet1_es</v>
      </c>
      <c r="FH54" t="str">
        <f t="shared" si="79"/>
        <v>automotive | Rot | S | bullet2_es</v>
      </c>
      <c r="FI54" t="str">
        <f t="shared" si="79"/>
        <v>automotive | Rot | S | bullet3_es</v>
      </c>
      <c r="FJ54" t="str">
        <f t="shared" si="79"/>
        <v>automotive | Rot | S | bullet4_es</v>
      </c>
      <c r="FK54" t="str">
        <f t="shared" si="79"/>
        <v>automotive | Rot | S | bullet5_es</v>
      </c>
      <c r="FL54" t="str">
        <f t="shared" si="79"/>
        <v>automotive | Rot | S | seo_title_es</v>
      </c>
      <c r="FM54" t="str">
        <f t="shared" si="79"/>
        <v>automotive | Rot | S | seo_description_es</v>
      </c>
      <c r="FN54" t="str">
        <f t="shared" si="79"/>
        <v>automotive | Rot | S | seo_keywords_es</v>
      </c>
      <c r="FO54">
        <f t="shared" si="13"/>
        <v>56.99</v>
      </c>
      <c r="FP54">
        <f t="shared" si="7"/>
        <v>59.99</v>
      </c>
      <c r="FQ54">
        <f t="shared" si="8"/>
        <v>54.99</v>
      </c>
    </row>
    <row r="55" spans="1:173" x14ac:dyDescent="0.35">
      <c r="A55" t="s">
        <v>372</v>
      </c>
      <c r="B55" t="str">
        <f t="shared" si="62"/>
        <v>eco-parent3-160526-Rot-M</v>
      </c>
      <c r="C55" t="s">
        <v>420</v>
      </c>
      <c r="D55" t="s">
        <v>354</v>
      </c>
      <c r="E55">
        <f t="shared" si="63"/>
        <v>3234567904</v>
      </c>
      <c r="F55">
        <f t="shared" si="69"/>
        <v>140</v>
      </c>
      <c r="G55" t="s">
        <v>357</v>
      </c>
      <c r="H55" t="s">
        <v>421</v>
      </c>
      <c r="I55" t="s">
        <v>407</v>
      </c>
      <c r="J55" t="s">
        <v>360</v>
      </c>
      <c r="K55" t="s">
        <v>424</v>
      </c>
      <c r="L55" t="s">
        <v>425</v>
      </c>
      <c r="M55" t="str">
        <f t="shared" si="2"/>
        <v>Ne2</v>
      </c>
      <c r="N55">
        <f t="shared" si="64"/>
        <v>315</v>
      </c>
      <c r="O55">
        <f t="shared" si="10"/>
        <v>49</v>
      </c>
      <c r="P55">
        <f t="shared" ref="P55:Q55" si="82">O55+5</f>
        <v>54</v>
      </c>
      <c r="Q55">
        <f t="shared" si="82"/>
        <v>59</v>
      </c>
      <c r="R55" s="18" t="s">
        <v>448</v>
      </c>
      <c r="S55" s="18" t="s">
        <v>449</v>
      </c>
      <c r="W55" s="18" t="s">
        <v>452</v>
      </c>
      <c r="Y55" t="s">
        <v>377</v>
      </c>
      <c r="AA55" t="s">
        <v>381</v>
      </c>
      <c r="AJ55" t="s">
        <v>364</v>
      </c>
      <c r="AK55">
        <f t="shared" si="66"/>
        <v>325</v>
      </c>
      <c r="AL55">
        <v>1000</v>
      </c>
      <c r="AM55">
        <f t="shared" si="67"/>
        <v>3234581</v>
      </c>
      <c r="AN55">
        <f t="shared" si="67"/>
        <v>32359</v>
      </c>
      <c r="AO55" s="18" t="s">
        <v>454</v>
      </c>
      <c r="AP55" t="s">
        <v>455</v>
      </c>
      <c r="AQ55" s="18" t="s">
        <v>457</v>
      </c>
      <c r="AR55" t="s">
        <v>456</v>
      </c>
      <c r="AY55" t="s">
        <v>458</v>
      </c>
      <c r="AZ55" t="s">
        <v>604</v>
      </c>
      <c r="BA55" t="s">
        <v>613</v>
      </c>
      <c r="BB55" t="s">
        <v>605</v>
      </c>
      <c r="BC55" t="s">
        <v>459</v>
      </c>
      <c r="BD55" t="s">
        <v>606</v>
      </c>
      <c r="DG55" t="str">
        <f t="shared" si="5"/>
        <v>automotive | Rot | M | title_de</v>
      </c>
      <c r="DH55" t="str">
        <f t="shared" si="5"/>
        <v>automotive | Rot | M | description_de</v>
      </c>
      <c r="DI55" t="str">
        <f t="shared" si="5"/>
        <v>automotive | Rot | M | bullet1_de</v>
      </c>
      <c r="DJ55" t="str">
        <f t="shared" si="5"/>
        <v>automotive | Rot | M | bullet2_de</v>
      </c>
      <c r="DK55" t="str">
        <f t="shared" si="5"/>
        <v>automotive | Rot | M | bullet3_de</v>
      </c>
      <c r="DL55" t="str">
        <f t="shared" si="20"/>
        <v>automotive | Rot | M | bullet4_de</v>
      </c>
      <c r="DM55" t="str">
        <f t="shared" si="6"/>
        <v>automotive | Rot | M | bullet5_de</v>
      </c>
      <c r="DN55" t="str">
        <f t="shared" si="6"/>
        <v>automotive | Rot | M | seo_title_de</v>
      </c>
      <c r="DO55" t="str">
        <f t="shared" si="6"/>
        <v>automotive | Rot | M | seo_description_de</v>
      </c>
      <c r="DP55" t="str">
        <f t="shared" si="79"/>
        <v>automotive | Rot | M | seo_keywords_de</v>
      </c>
      <c r="DQ55" t="str">
        <f t="shared" si="79"/>
        <v>automotive | Rot | M | title_en</v>
      </c>
      <c r="DR55" t="str">
        <f t="shared" si="79"/>
        <v>automotive | Rot | M | description_en</v>
      </c>
      <c r="DS55" t="str">
        <f t="shared" si="79"/>
        <v>automotive | Rot | M | bullet1_en</v>
      </c>
      <c r="DT55" t="str">
        <f t="shared" si="79"/>
        <v>automotive | Rot | M | bullet2_en</v>
      </c>
      <c r="DU55" t="str">
        <f t="shared" si="79"/>
        <v>automotive | Rot | M | bullet3_en</v>
      </c>
      <c r="DV55" t="str">
        <f t="shared" si="79"/>
        <v>automotive | Rot | M | bullet4_en</v>
      </c>
      <c r="DW55" t="str">
        <f t="shared" si="79"/>
        <v>automotive | Rot | M | bullet5_en</v>
      </c>
      <c r="DX55" t="str">
        <f t="shared" si="79"/>
        <v>automotive | Rot | M | seo_title_en</v>
      </c>
      <c r="DY55" t="str">
        <f t="shared" si="79"/>
        <v>automotive | Rot | M | seo_description_en</v>
      </c>
      <c r="DZ55" t="str">
        <f t="shared" si="79"/>
        <v>automotive | Rot | M | seo_keywords_en</v>
      </c>
      <c r="EA55" t="str">
        <f t="shared" si="79"/>
        <v>automotive | Rot | M | title_tr</v>
      </c>
      <c r="EB55" t="str">
        <f t="shared" si="79"/>
        <v>automotive | Rot | M | description_tr</v>
      </c>
      <c r="EC55" t="str">
        <f t="shared" si="79"/>
        <v>automotive | Rot | M | bullet1_tr</v>
      </c>
      <c r="ED55" t="str">
        <f t="shared" si="79"/>
        <v>automotive | Rot | M | bullet2_tr</v>
      </c>
      <c r="EE55" t="str">
        <f t="shared" si="79"/>
        <v>automotive | Rot | M | bullet3_tr</v>
      </c>
      <c r="EF55" t="str">
        <f t="shared" si="79"/>
        <v>automotive | Rot | M | bullet4_tr</v>
      </c>
      <c r="EG55" t="str">
        <f t="shared" si="79"/>
        <v>automotive | Rot | M | bullet5_tr</v>
      </c>
      <c r="EH55" t="str">
        <f t="shared" si="79"/>
        <v>automotive | Rot | M | seo_title_tr</v>
      </c>
      <c r="EI55" t="str">
        <f t="shared" si="79"/>
        <v>automotive | Rot | M | seo_description_tr</v>
      </c>
      <c r="EJ55" t="str">
        <f t="shared" si="79"/>
        <v>automotive | Rot | M | seo_keywords_tr</v>
      </c>
      <c r="EK55" t="str">
        <f t="shared" si="79"/>
        <v>automotive | Rot | M | title_fr</v>
      </c>
      <c r="EL55" t="str">
        <f t="shared" si="79"/>
        <v>automotive | Rot | M | description_fr</v>
      </c>
      <c r="EM55" t="str">
        <f t="shared" si="79"/>
        <v>automotive | Rot | M | bullet1_fr</v>
      </c>
      <c r="EN55" t="str">
        <f t="shared" si="79"/>
        <v>automotive | Rot | M | bullet2_fr</v>
      </c>
      <c r="EO55" t="str">
        <f t="shared" si="79"/>
        <v>automotive | Rot | M | bullet3_fr</v>
      </c>
      <c r="EP55" t="str">
        <f t="shared" si="79"/>
        <v>automotive | Rot | M | bullet4_fr</v>
      </c>
      <c r="EQ55" t="str">
        <f t="shared" si="79"/>
        <v>automotive | Rot | M | bullet5_fr</v>
      </c>
      <c r="ER55" t="str">
        <f t="shared" si="79"/>
        <v>automotive | Rot | M | seo_title_fr</v>
      </c>
      <c r="ES55" t="str">
        <f t="shared" si="79"/>
        <v>automotive | Rot | M | seo_description_fr</v>
      </c>
      <c r="ET55" t="str">
        <f t="shared" si="79"/>
        <v>automotive | Rot | M | seo_keywords_fr</v>
      </c>
      <c r="EU55" t="str">
        <f t="shared" si="79"/>
        <v>automotive | Rot | M | title_it</v>
      </c>
      <c r="EV55" t="str">
        <f t="shared" si="79"/>
        <v>automotive | Rot | M | description_it</v>
      </c>
      <c r="EW55" t="str">
        <f t="shared" si="79"/>
        <v>automotive | Rot | M | bullet1_it</v>
      </c>
      <c r="EX55" t="str">
        <f t="shared" si="79"/>
        <v>automotive | Rot | M | bullet2_it</v>
      </c>
      <c r="EY55" t="str">
        <f t="shared" si="79"/>
        <v>automotive | Rot | M | bullet3_it</v>
      </c>
      <c r="EZ55" t="str">
        <f t="shared" si="79"/>
        <v>automotive | Rot | M | bullet4_it</v>
      </c>
      <c r="FA55" t="str">
        <f t="shared" si="79"/>
        <v>automotive | Rot | M | bullet5_it</v>
      </c>
      <c r="FB55" t="str">
        <f t="shared" si="79"/>
        <v>automotive | Rot | M | seo_title_it</v>
      </c>
      <c r="FC55" t="str">
        <f t="shared" si="79"/>
        <v>automotive | Rot | M | seo_description_it</v>
      </c>
      <c r="FD55" t="str">
        <f t="shared" si="79"/>
        <v>automotive | Rot | M | seo_keywords_it</v>
      </c>
      <c r="FE55" t="str">
        <f t="shared" si="79"/>
        <v>automotive | Rot | M | title_es</v>
      </c>
      <c r="FF55" t="str">
        <f t="shared" si="79"/>
        <v>automotive | Rot | M | description_es</v>
      </c>
      <c r="FG55" t="str">
        <f t="shared" si="79"/>
        <v>automotive | Rot | M | bullet1_es</v>
      </c>
      <c r="FH55" t="str">
        <f t="shared" si="79"/>
        <v>automotive | Rot | M | bullet2_es</v>
      </c>
      <c r="FI55" t="str">
        <f t="shared" si="79"/>
        <v>automotive | Rot | M | bullet3_es</v>
      </c>
      <c r="FJ55" t="str">
        <f t="shared" si="79"/>
        <v>automotive | Rot | M | bullet4_es</v>
      </c>
      <c r="FK55" t="str">
        <f t="shared" si="79"/>
        <v>automotive | Rot | M | bullet5_es</v>
      </c>
      <c r="FL55" t="str">
        <f t="shared" si="79"/>
        <v>automotive | Rot | M | seo_title_es</v>
      </c>
      <c r="FM55" t="str">
        <f t="shared" si="79"/>
        <v>automotive | Rot | M | seo_description_es</v>
      </c>
      <c r="FN55" t="str">
        <f t="shared" si="79"/>
        <v>automotive | Rot | M | seo_keywords_es</v>
      </c>
      <c r="FO55">
        <f t="shared" si="13"/>
        <v>57.99</v>
      </c>
      <c r="FP55">
        <f t="shared" si="7"/>
        <v>60.99</v>
      </c>
      <c r="FQ55">
        <f t="shared" si="8"/>
        <v>55.99</v>
      </c>
    </row>
    <row r="56" spans="1:173" x14ac:dyDescent="0.35">
      <c r="A56" t="s">
        <v>372</v>
      </c>
      <c r="B56" t="str">
        <f t="shared" si="62"/>
        <v>eco-parent3-160526-Rot-L</v>
      </c>
      <c r="C56" t="s">
        <v>420</v>
      </c>
      <c r="D56" t="s">
        <v>354</v>
      </c>
      <c r="E56">
        <f t="shared" si="63"/>
        <v>3234567905</v>
      </c>
      <c r="F56">
        <f t="shared" si="69"/>
        <v>150</v>
      </c>
      <c r="G56" t="s">
        <v>357</v>
      </c>
      <c r="H56" t="s">
        <v>421</v>
      </c>
      <c r="I56" t="s">
        <v>407</v>
      </c>
      <c r="J56" t="s">
        <v>360</v>
      </c>
      <c r="K56" t="s">
        <v>424</v>
      </c>
      <c r="L56" t="s">
        <v>425</v>
      </c>
      <c r="M56" t="str">
        <f t="shared" si="2"/>
        <v>Ne2</v>
      </c>
      <c r="N56">
        <f t="shared" si="64"/>
        <v>316</v>
      </c>
      <c r="O56">
        <f t="shared" si="10"/>
        <v>50</v>
      </c>
      <c r="P56">
        <f t="shared" ref="P56:Q56" si="83">O56+5</f>
        <v>55</v>
      </c>
      <c r="Q56">
        <f t="shared" si="83"/>
        <v>60</v>
      </c>
      <c r="R56" s="18" t="s">
        <v>448</v>
      </c>
      <c r="S56" s="18" t="s">
        <v>449</v>
      </c>
      <c r="W56" s="18" t="s">
        <v>452</v>
      </c>
      <c r="Y56" t="s">
        <v>377</v>
      </c>
      <c r="AA56" t="s">
        <v>406</v>
      </c>
      <c r="AJ56" t="s">
        <v>364</v>
      </c>
      <c r="AK56">
        <f t="shared" si="66"/>
        <v>326</v>
      </c>
      <c r="AL56">
        <v>1000</v>
      </c>
      <c r="AM56">
        <f t="shared" si="67"/>
        <v>3234582</v>
      </c>
      <c r="AN56">
        <f t="shared" si="67"/>
        <v>32360</v>
      </c>
      <c r="AO56" s="18" t="s">
        <v>454</v>
      </c>
      <c r="AP56" t="s">
        <v>455</v>
      </c>
      <c r="AQ56" s="18" t="s">
        <v>457</v>
      </c>
      <c r="AR56" t="s">
        <v>456</v>
      </c>
      <c r="AY56" t="s">
        <v>458</v>
      </c>
      <c r="AZ56" t="s">
        <v>607</v>
      </c>
      <c r="BA56" t="s">
        <v>613</v>
      </c>
      <c r="BB56" t="s">
        <v>608</v>
      </c>
      <c r="BC56" t="s">
        <v>459</v>
      </c>
      <c r="BD56" t="s">
        <v>609</v>
      </c>
      <c r="DG56" t="str">
        <f t="shared" si="5"/>
        <v>automotive | Rot | L | title_de</v>
      </c>
      <c r="DH56" t="str">
        <f t="shared" si="5"/>
        <v>automotive | Rot | L | description_de</v>
      </c>
      <c r="DI56" t="str">
        <f t="shared" si="5"/>
        <v>automotive | Rot | L | bullet1_de</v>
      </c>
      <c r="DJ56" t="str">
        <f t="shared" si="5"/>
        <v>automotive | Rot | L | bullet2_de</v>
      </c>
      <c r="DK56" t="str">
        <f t="shared" si="5"/>
        <v>automotive | Rot | L | bullet3_de</v>
      </c>
      <c r="DL56" t="str">
        <f t="shared" si="20"/>
        <v>automotive | Rot | L | bullet4_de</v>
      </c>
      <c r="DM56" t="str">
        <f t="shared" si="6"/>
        <v>automotive | Rot | L | bullet5_de</v>
      </c>
      <c r="DN56" t="str">
        <f t="shared" si="6"/>
        <v>automotive | Rot | L | seo_title_de</v>
      </c>
      <c r="DO56" t="str">
        <f t="shared" si="6"/>
        <v>automotive | Rot | L | seo_description_de</v>
      </c>
      <c r="DP56" t="str">
        <f t="shared" si="79"/>
        <v>automotive | Rot | L | seo_keywords_de</v>
      </c>
      <c r="DQ56" t="str">
        <f t="shared" si="79"/>
        <v>automotive | Rot | L | title_en</v>
      </c>
      <c r="DR56" t="str">
        <f t="shared" si="79"/>
        <v>automotive | Rot | L | description_en</v>
      </c>
      <c r="DS56" t="str">
        <f t="shared" si="79"/>
        <v>automotive | Rot | L | bullet1_en</v>
      </c>
      <c r="DT56" t="str">
        <f t="shared" si="79"/>
        <v>automotive | Rot | L | bullet2_en</v>
      </c>
      <c r="DU56" t="str">
        <f t="shared" si="79"/>
        <v>automotive | Rot | L | bullet3_en</v>
      </c>
      <c r="DV56" t="str">
        <f t="shared" si="79"/>
        <v>automotive | Rot | L | bullet4_en</v>
      </c>
      <c r="DW56" t="str">
        <f t="shared" si="79"/>
        <v>automotive | Rot | L | bullet5_en</v>
      </c>
      <c r="DX56" t="str">
        <f t="shared" si="79"/>
        <v>automotive | Rot | L | seo_title_en</v>
      </c>
      <c r="DY56" t="str">
        <f t="shared" si="79"/>
        <v>automotive | Rot | L | seo_description_en</v>
      </c>
      <c r="DZ56" t="str">
        <f t="shared" si="79"/>
        <v>automotive | Rot | L | seo_keywords_en</v>
      </c>
      <c r="EA56" t="str">
        <f t="shared" si="79"/>
        <v>automotive | Rot | L | title_tr</v>
      </c>
      <c r="EB56" t="str">
        <f t="shared" si="79"/>
        <v>automotive | Rot | L | description_tr</v>
      </c>
      <c r="EC56" t="str">
        <f t="shared" si="79"/>
        <v>automotive | Rot | L | bullet1_tr</v>
      </c>
      <c r="ED56" t="str">
        <f t="shared" si="79"/>
        <v>automotive | Rot | L | bullet2_tr</v>
      </c>
      <c r="EE56" t="str">
        <f t="shared" si="79"/>
        <v>automotive | Rot | L | bullet3_tr</v>
      </c>
      <c r="EF56" t="str">
        <f t="shared" si="79"/>
        <v>automotive | Rot | L | bullet4_tr</v>
      </c>
      <c r="EG56" t="str">
        <f t="shared" si="79"/>
        <v>automotive | Rot | L | bullet5_tr</v>
      </c>
      <c r="EH56" t="str">
        <f t="shared" si="79"/>
        <v>automotive | Rot | L | seo_title_tr</v>
      </c>
      <c r="EI56" t="str">
        <f t="shared" si="79"/>
        <v>automotive | Rot | L | seo_description_tr</v>
      </c>
      <c r="EJ56" t="str">
        <f t="shared" si="79"/>
        <v>automotive | Rot | L | seo_keywords_tr</v>
      </c>
      <c r="EK56" t="str">
        <f t="shared" si="79"/>
        <v>automotive | Rot | L | title_fr</v>
      </c>
      <c r="EL56" t="str">
        <f t="shared" si="79"/>
        <v>automotive | Rot | L | description_fr</v>
      </c>
      <c r="EM56" t="str">
        <f t="shared" si="79"/>
        <v>automotive | Rot | L | bullet1_fr</v>
      </c>
      <c r="EN56" t="str">
        <f t="shared" si="79"/>
        <v>automotive | Rot | L | bullet2_fr</v>
      </c>
      <c r="EO56" t="str">
        <f t="shared" si="79"/>
        <v>automotive | Rot | L | bullet3_fr</v>
      </c>
      <c r="EP56" t="str">
        <f t="shared" si="79"/>
        <v>automotive | Rot | L | bullet4_fr</v>
      </c>
      <c r="EQ56" t="str">
        <f t="shared" si="79"/>
        <v>automotive | Rot | L | bullet5_fr</v>
      </c>
      <c r="ER56" t="str">
        <f t="shared" si="79"/>
        <v>automotive | Rot | L | seo_title_fr</v>
      </c>
      <c r="ES56" t="str">
        <f t="shared" si="79"/>
        <v>automotive | Rot | L | seo_description_fr</v>
      </c>
      <c r="ET56" t="str">
        <f t="shared" si="79"/>
        <v>automotive | Rot | L | seo_keywords_fr</v>
      </c>
      <c r="EU56" t="str">
        <f t="shared" si="79"/>
        <v>automotive | Rot | L | title_it</v>
      </c>
      <c r="EV56" t="str">
        <f t="shared" si="79"/>
        <v>automotive | Rot | L | description_it</v>
      </c>
      <c r="EW56" t="str">
        <f t="shared" si="79"/>
        <v>automotive | Rot | L | bullet1_it</v>
      </c>
      <c r="EX56" t="str">
        <f t="shared" si="79"/>
        <v>automotive | Rot | L | bullet2_it</v>
      </c>
      <c r="EY56" t="str">
        <f t="shared" si="79"/>
        <v>automotive | Rot | L | bullet3_it</v>
      </c>
      <c r="EZ56" t="str">
        <f t="shared" si="79"/>
        <v>automotive | Rot | L | bullet4_it</v>
      </c>
      <c r="FA56" t="str">
        <f t="shared" si="79"/>
        <v>automotive | Rot | L | bullet5_it</v>
      </c>
      <c r="FB56" t="str">
        <f t="shared" si="79"/>
        <v>automotive | Rot | L | seo_title_it</v>
      </c>
      <c r="FC56" t="str">
        <f t="shared" si="79"/>
        <v>automotive | Rot | L | seo_description_it</v>
      </c>
      <c r="FD56" t="str">
        <f t="shared" si="79"/>
        <v>automotive | Rot | L | seo_keywords_it</v>
      </c>
      <c r="FE56" t="str">
        <f t="shared" si="79"/>
        <v>automotive | Rot | L | title_es</v>
      </c>
      <c r="FF56" t="str">
        <f t="shared" si="79"/>
        <v>automotive | Rot | L | description_es</v>
      </c>
      <c r="FG56" t="str">
        <f t="shared" si="79"/>
        <v>automotive | Rot | L | bullet1_es</v>
      </c>
      <c r="FH56" t="str">
        <f t="shared" si="79"/>
        <v>automotive | Rot | L | bullet2_es</v>
      </c>
      <c r="FI56" t="str">
        <f t="shared" si="79"/>
        <v>automotive | Rot | L | bullet3_es</v>
      </c>
      <c r="FJ56" t="str">
        <f t="shared" si="79"/>
        <v>automotive | Rot | L | bullet4_es</v>
      </c>
      <c r="FK56" t="str">
        <f t="shared" si="79"/>
        <v>automotive | Rot | L | bullet5_es</v>
      </c>
      <c r="FL56" t="str">
        <f t="shared" si="79"/>
        <v>automotive | Rot | L | seo_title_es</v>
      </c>
      <c r="FM56" t="str">
        <f t="shared" si="79"/>
        <v>automotive | Rot | L | seo_description_es</v>
      </c>
      <c r="FN56" t="str">
        <f t="shared" si="79"/>
        <v>automotive | Rot | L | seo_keywords_es</v>
      </c>
      <c r="FO56">
        <f t="shared" si="13"/>
        <v>58.99</v>
      </c>
      <c r="FP56">
        <f t="shared" si="7"/>
        <v>61.99</v>
      </c>
      <c r="FQ56">
        <f t="shared" si="8"/>
        <v>56.99</v>
      </c>
    </row>
    <row r="57" spans="1:173" x14ac:dyDescent="0.35">
      <c r="A57" t="s">
        <v>372</v>
      </c>
      <c r="B57" t="str">
        <f t="shared" si="62"/>
        <v>eco-parent3-160526-Rot-XL</v>
      </c>
      <c r="C57" t="s">
        <v>420</v>
      </c>
      <c r="D57" t="s">
        <v>354</v>
      </c>
      <c r="E57">
        <f t="shared" si="63"/>
        <v>3234567906</v>
      </c>
      <c r="F57">
        <f t="shared" si="69"/>
        <v>160</v>
      </c>
      <c r="G57" t="s">
        <v>357</v>
      </c>
      <c r="H57" t="s">
        <v>421</v>
      </c>
      <c r="I57" t="s">
        <v>407</v>
      </c>
      <c r="J57" t="s">
        <v>360</v>
      </c>
      <c r="K57" t="s">
        <v>424</v>
      </c>
      <c r="L57" t="s">
        <v>425</v>
      </c>
      <c r="M57" t="str">
        <f t="shared" si="2"/>
        <v>Ne2</v>
      </c>
      <c r="N57">
        <f t="shared" si="64"/>
        <v>317</v>
      </c>
      <c r="O57">
        <f t="shared" si="10"/>
        <v>51</v>
      </c>
      <c r="P57">
        <f t="shared" ref="P57:Q57" si="84">O57+5</f>
        <v>56</v>
      </c>
      <c r="Q57">
        <f t="shared" si="84"/>
        <v>61</v>
      </c>
      <c r="R57" s="18" t="s">
        <v>448</v>
      </c>
      <c r="S57" s="18" t="s">
        <v>449</v>
      </c>
      <c r="W57" s="18" t="s">
        <v>452</v>
      </c>
      <c r="Y57" t="s">
        <v>377</v>
      </c>
      <c r="AA57" t="s">
        <v>412</v>
      </c>
      <c r="AJ57" t="s">
        <v>364</v>
      </c>
      <c r="AK57">
        <f t="shared" si="66"/>
        <v>327</v>
      </c>
      <c r="AL57">
        <v>1000</v>
      </c>
      <c r="AM57">
        <f t="shared" si="67"/>
        <v>3234583</v>
      </c>
      <c r="AN57">
        <f t="shared" si="67"/>
        <v>32361</v>
      </c>
      <c r="AO57" s="18" t="s">
        <v>454</v>
      </c>
      <c r="AP57" t="s">
        <v>455</v>
      </c>
      <c r="AQ57" s="18" t="s">
        <v>457</v>
      </c>
      <c r="AR57" t="s">
        <v>456</v>
      </c>
      <c r="AY57" t="s">
        <v>458</v>
      </c>
      <c r="AZ57" t="s">
        <v>610</v>
      </c>
      <c r="BA57" t="s">
        <v>613</v>
      </c>
      <c r="BB57" t="s">
        <v>611</v>
      </c>
      <c r="BC57" t="s">
        <v>459</v>
      </c>
      <c r="BD57" t="s">
        <v>612</v>
      </c>
      <c r="DG57" t="str">
        <f t="shared" si="5"/>
        <v>automotive | Rot | XL | title_de</v>
      </c>
      <c r="DH57" t="str">
        <f t="shared" si="5"/>
        <v>automotive | Rot | XL | description_de</v>
      </c>
      <c r="DI57" t="str">
        <f t="shared" si="5"/>
        <v>automotive | Rot | XL | bullet1_de</v>
      </c>
      <c r="DJ57" t="str">
        <f t="shared" si="5"/>
        <v>automotive | Rot | XL | bullet2_de</v>
      </c>
      <c r="DK57" t="str">
        <f t="shared" si="5"/>
        <v>automotive | Rot | XL | bullet3_de</v>
      </c>
      <c r="DL57" t="str">
        <f t="shared" si="20"/>
        <v>automotive | Rot | XL | bullet4_de</v>
      </c>
      <c r="DM57" t="str">
        <f t="shared" si="6"/>
        <v>automotive | Rot | XL | bullet5_de</v>
      </c>
      <c r="DN57" t="str">
        <f t="shared" si="6"/>
        <v>automotive | Rot | XL | seo_title_de</v>
      </c>
      <c r="DO57" t="str">
        <f t="shared" si="6"/>
        <v>automotive | Rot | XL | seo_description_de</v>
      </c>
      <c r="DP57" t="str">
        <f t="shared" si="79"/>
        <v>automotive | Rot | XL | seo_keywords_de</v>
      </c>
      <c r="DQ57" t="str">
        <f t="shared" si="79"/>
        <v>automotive | Rot | XL | title_en</v>
      </c>
      <c r="DR57" t="str">
        <f t="shared" si="79"/>
        <v>automotive | Rot | XL | description_en</v>
      </c>
      <c r="DS57" t="str">
        <f t="shared" si="79"/>
        <v>automotive | Rot | XL | bullet1_en</v>
      </c>
      <c r="DT57" t="str">
        <f t="shared" si="79"/>
        <v>automotive | Rot | XL | bullet2_en</v>
      </c>
      <c r="DU57" t="str">
        <f t="shared" si="79"/>
        <v>automotive | Rot | XL | bullet3_en</v>
      </c>
      <c r="DV57" t="str">
        <f t="shared" si="79"/>
        <v>automotive | Rot | XL | bullet4_en</v>
      </c>
      <c r="DW57" t="str">
        <f t="shared" si="79"/>
        <v>automotive | Rot | XL | bullet5_en</v>
      </c>
      <c r="DX57" t="str">
        <f t="shared" si="79"/>
        <v>automotive | Rot | XL | seo_title_en</v>
      </c>
      <c r="DY57" t="str">
        <f t="shared" si="79"/>
        <v>automotive | Rot | XL | seo_description_en</v>
      </c>
      <c r="DZ57" t="str">
        <f t="shared" si="79"/>
        <v>automotive | Rot | XL | seo_keywords_en</v>
      </c>
      <c r="EA57" t="str">
        <f t="shared" si="79"/>
        <v>automotive | Rot | XL | title_tr</v>
      </c>
      <c r="EB57" t="str">
        <f t="shared" si="79"/>
        <v>automotive | Rot | XL | description_tr</v>
      </c>
      <c r="EC57" t="str">
        <f t="shared" ref="EC57:FN57" si="85">MID($I57,1,FIND("-",$I57,1)-1)&amp;" | "&amp;$Y57&amp;" | "&amp;$AA57&amp;" | "&amp;EC$2</f>
        <v>automotive | Rot | XL | bullet1_tr</v>
      </c>
      <c r="ED57" t="str">
        <f t="shared" si="85"/>
        <v>automotive | Rot | XL | bullet2_tr</v>
      </c>
      <c r="EE57" t="str">
        <f t="shared" si="85"/>
        <v>automotive | Rot | XL | bullet3_tr</v>
      </c>
      <c r="EF57" t="str">
        <f t="shared" si="85"/>
        <v>automotive | Rot | XL | bullet4_tr</v>
      </c>
      <c r="EG57" t="str">
        <f t="shared" si="85"/>
        <v>automotive | Rot | XL | bullet5_tr</v>
      </c>
      <c r="EH57" t="str">
        <f t="shared" si="85"/>
        <v>automotive | Rot | XL | seo_title_tr</v>
      </c>
      <c r="EI57" t="str">
        <f t="shared" si="85"/>
        <v>automotive | Rot | XL | seo_description_tr</v>
      </c>
      <c r="EJ57" t="str">
        <f t="shared" si="85"/>
        <v>automotive | Rot | XL | seo_keywords_tr</v>
      </c>
      <c r="EK57" t="str">
        <f t="shared" si="85"/>
        <v>automotive | Rot | XL | title_fr</v>
      </c>
      <c r="EL57" t="str">
        <f t="shared" si="85"/>
        <v>automotive | Rot | XL | description_fr</v>
      </c>
      <c r="EM57" t="str">
        <f t="shared" si="85"/>
        <v>automotive | Rot | XL | bullet1_fr</v>
      </c>
      <c r="EN57" t="str">
        <f t="shared" si="85"/>
        <v>automotive | Rot | XL | bullet2_fr</v>
      </c>
      <c r="EO57" t="str">
        <f t="shared" si="85"/>
        <v>automotive | Rot | XL | bullet3_fr</v>
      </c>
      <c r="EP57" t="str">
        <f t="shared" si="85"/>
        <v>automotive | Rot | XL | bullet4_fr</v>
      </c>
      <c r="EQ57" t="str">
        <f t="shared" si="85"/>
        <v>automotive | Rot | XL | bullet5_fr</v>
      </c>
      <c r="ER57" t="str">
        <f t="shared" si="85"/>
        <v>automotive | Rot | XL | seo_title_fr</v>
      </c>
      <c r="ES57" t="str">
        <f t="shared" si="85"/>
        <v>automotive | Rot | XL | seo_description_fr</v>
      </c>
      <c r="ET57" t="str">
        <f t="shared" si="85"/>
        <v>automotive | Rot | XL | seo_keywords_fr</v>
      </c>
      <c r="EU57" t="str">
        <f t="shared" si="85"/>
        <v>automotive | Rot | XL | title_it</v>
      </c>
      <c r="EV57" t="str">
        <f t="shared" si="85"/>
        <v>automotive | Rot | XL | description_it</v>
      </c>
      <c r="EW57" t="str">
        <f t="shared" si="85"/>
        <v>automotive | Rot | XL | bullet1_it</v>
      </c>
      <c r="EX57" t="str">
        <f t="shared" si="85"/>
        <v>automotive | Rot | XL | bullet2_it</v>
      </c>
      <c r="EY57" t="str">
        <f t="shared" si="85"/>
        <v>automotive | Rot | XL | bullet3_it</v>
      </c>
      <c r="EZ57" t="str">
        <f t="shared" si="85"/>
        <v>automotive | Rot | XL | bullet4_it</v>
      </c>
      <c r="FA57" t="str">
        <f t="shared" si="85"/>
        <v>automotive | Rot | XL | bullet5_it</v>
      </c>
      <c r="FB57" t="str">
        <f t="shared" si="85"/>
        <v>automotive | Rot | XL | seo_title_it</v>
      </c>
      <c r="FC57" t="str">
        <f t="shared" si="85"/>
        <v>automotive | Rot | XL | seo_description_it</v>
      </c>
      <c r="FD57" t="str">
        <f t="shared" si="85"/>
        <v>automotive | Rot | XL | seo_keywords_it</v>
      </c>
      <c r="FE57" t="str">
        <f t="shared" si="85"/>
        <v>automotive | Rot | XL | title_es</v>
      </c>
      <c r="FF57" t="str">
        <f t="shared" si="85"/>
        <v>automotive | Rot | XL | description_es</v>
      </c>
      <c r="FG57" t="str">
        <f t="shared" si="85"/>
        <v>automotive | Rot | XL | bullet1_es</v>
      </c>
      <c r="FH57" t="str">
        <f t="shared" si="85"/>
        <v>automotive | Rot | XL | bullet2_es</v>
      </c>
      <c r="FI57" t="str">
        <f t="shared" si="85"/>
        <v>automotive | Rot | XL | bullet3_es</v>
      </c>
      <c r="FJ57" t="str">
        <f t="shared" si="85"/>
        <v>automotive | Rot | XL | bullet4_es</v>
      </c>
      <c r="FK57" t="str">
        <f t="shared" si="85"/>
        <v>automotive | Rot | XL | bullet5_es</v>
      </c>
      <c r="FL57" t="str">
        <f t="shared" si="85"/>
        <v>automotive | Rot | XL | seo_title_es</v>
      </c>
      <c r="FM57" t="str">
        <f t="shared" si="85"/>
        <v>automotive | Rot | XL | seo_description_es</v>
      </c>
      <c r="FN57" t="str">
        <f t="shared" si="85"/>
        <v>automotive | Rot | XL | seo_keywords_es</v>
      </c>
      <c r="FO57">
        <f t="shared" si="13"/>
        <v>59.99</v>
      </c>
      <c r="FP57">
        <f t="shared" si="7"/>
        <v>62.99</v>
      </c>
      <c r="FQ57">
        <f t="shared" si="8"/>
        <v>57.99</v>
      </c>
    </row>
  </sheetData>
  <mergeCells count="16">
    <mergeCell ref="GA1:GC1"/>
    <mergeCell ref="FE1:FN1"/>
    <mergeCell ref="FO1:FQ1"/>
    <mergeCell ref="FR1:FT1"/>
    <mergeCell ref="FU1:FW1"/>
    <mergeCell ref="FX1:FZ1"/>
    <mergeCell ref="DG1:DP1"/>
    <mergeCell ref="DQ1:DZ1"/>
    <mergeCell ref="EA1:EJ1"/>
    <mergeCell ref="EK1:ET1"/>
    <mergeCell ref="EU1:FD1"/>
    <mergeCell ref="A1:W1"/>
    <mergeCell ref="X1:AI1"/>
    <mergeCell ref="AJ1:AN1"/>
    <mergeCell ref="AO1:AX1"/>
    <mergeCell ref="AY1:DF1"/>
  </mergeCells>
  <hyperlinks>
    <hyperlink ref="R11" r:id="rId1" xr:uid="{812DDBE1-B095-4CFB-9BB7-C4F08EA0A2F3}"/>
    <hyperlink ref="R12" r:id="rId2" xr:uid="{D84F81D1-3A37-4662-AE74-C1622A8B633E}"/>
    <hyperlink ref="S11" r:id="rId3" xr:uid="{45162AC7-7613-464F-9749-74A07A07A3D8}"/>
    <hyperlink ref="S12" r:id="rId4" xr:uid="{67936C1C-E99E-4993-8D81-B3FADD233D95}"/>
    <hyperlink ref="R8" r:id="rId5" xr:uid="{F328EE7D-8A12-4B6F-8BB2-0870606128FF}"/>
    <hyperlink ref="R9" r:id="rId6" xr:uid="{C2FCC945-4E1A-452E-B2F6-480E51BA27B7}"/>
    <hyperlink ref="R10" r:id="rId7" xr:uid="{3FC8A126-011C-472F-BF6E-1C4B49617EFC}"/>
    <hyperlink ref="S8" r:id="rId8" xr:uid="{B8B3E796-E36D-440F-A691-0DDE90332F0A}"/>
    <hyperlink ref="S9" r:id="rId9" xr:uid="{293B8D3A-0C54-4433-AF81-03EF2E401723}"/>
    <hyperlink ref="S10" r:id="rId10" xr:uid="{9F9BDEB7-D9CE-4763-A387-2453099F5FF9}"/>
    <hyperlink ref="R13" r:id="rId11" xr:uid="{001389C5-A6A4-4D88-A56E-556C110FBF36}"/>
    <hyperlink ref="R14" r:id="rId12" xr:uid="{D01F4077-5722-443C-9E33-06A774E51660}"/>
    <hyperlink ref="R15" r:id="rId13" xr:uid="{ECFCD7E5-CBF4-4A4A-84DB-E2580429D008}"/>
    <hyperlink ref="S13" r:id="rId14" xr:uid="{F3C358B6-3C5D-4D02-9C84-DF6D886F11DC}"/>
    <hyperlink ref="S14" r:id="rId15" xr:uid="{561CB494-5308-4F97-9555-FD7480716742}"/>
    <hyperlink ref="S15" r:id="rId16" xr:uid="{78C499E1-C291-4BCD-8A26-694BFBB543E6}"/>
    <hyperlink ref="R16" r:id="rId17" xr:uid="{82A6BEE7-C9E7-41E8-BB8C-FC278D76E56A}"/>
    <hyperlink ref="S16" r:id="rId18" xr:uid="{92FFEF8D-6C45-4C1F-8D95-0132C2707F55}"/>
    <hyperlink ref="R17" r:id="rId19" xr:uid="{2B244AF2-D6D4-49A2-92D1-EB8BE557CFE1}"/>
    <hyperlink ref="R18" r:id="rId20" xr:uid="{E1CF37FF-628B-45DE-B244-6F62CC45FFB0}"/>
    <hyperlink ref="R19" r:id="rId21" xr:uid="{39A178E0-AEB4-4A1F-BA24-0FFE146D7995}"/>
    <hyperlink ref="S17" r:id="rId22" xr:uid="{67FFD579-0653-4D3C-961F-1BFB38A18EE8}"/>
    <hyperlink ref="S18" r:id="rId23" xr:uid="{F8E8DBBC-448C-42A9-A150-36E6B224D449}"/>
    <hyperlink ref="S19" r:id="rId24" xr:uid="{80BD81AC-8357-4C10-ABA9-4042D7F9DC26}"/>
    <hyperlink ref="R20" r:id="rId25" xr:uid="{1F5D6F6B-01C8-40D9-A498-5953CD55AB64}"/>
    <hyperlink ref="S20" r:id="rId26" xr:uid="{3FBF107F-0060-4335-88F4-C95F2F10D35B}"/>
    <hyperlink ref="R21" r:id="rId27" xr:uid="{427CFC69-85B0-47BC-B9D4-11B2CEFAD786}"/>
    <hyperlink ref="R22" r:id="rId28" xr:uid="{9C148F84-7C8D-4C02-AA0C-BB2169B84256}"/>
    <hyperlink ref="R23" r:id="rId29" xr:uid="{95412487-837D-455C-B149-5A4C009492A2}"/>
    <hyperlink ref="S21" r:id="rId30" xr:uid="{4DD87C90-1B00-43F9-9A59-4C54302A2208}"/>
    <hyperlink ref="S22" r:id="rId31" xr:uid="{A948AB4F-554C-4494-930C-AFD86EA7176D}"/>
    <hyperlink ref="S23" r:id="rId32" xr:uid="{B1AA85E3-B80D-410A-8AB8-7350B058DD01}"/>
    <hyperlink ref="R25" r:id="rId33" xr:uid="{E6E7780D-7324-4AF5-87B1-9455C5108FAC}"/>
    <hyperlink ref="S25" r:id="rId34" xr:uid="{DE32E93C-D7A8-48B8-8C0C-838A7B7E705B}"/>
    <hyperlink ref="R26" r:id="rId35" xr:uid="{B2B50DD1-B28C-42C1-B470-AF5C9812FE4D}"/>
    <hyperlink ref="R27" r:id="rId36" xr:uid="{63C12A37-1A4F-4BC2-A1EF-38CA6E6C3200}"/>
    <hyperlink ref="R28" r:id="rId37" xr:uid="{CD7BD021-88B6-4C5C-ACFD-BDD6B014AEAF}"/>
    <hyperlink ref="S26" r:id="rId38" xr:uid="{D652D3AF-59B3-4D75-A943-94B00F6E8B38}"/>
    <hyperlink ref="S27" r:id="rId39" xr:uid="{7DDE8FCE-C146-4C61-AE74-EB760E6563A9}"/>
    <hyperlink ref="S28" r:id="rId40" xr:uid="{19457EBE-17FF-44CF-8C81-38CFADE5C657}"/>
    <hyperlink ref="R29" r:id="rId41" xr:uid="{5D6233A5-96DC-48B5-A277-A4983DD22675}"/>
    <hyperlink ref="S29" r:id="rId42" xr:uid="{0672D896-FB70-42D5-AD5B-BD8A23ACEDFE}"/>
    <hyperlink ref="R30" r:id="rId43" xr:uid="{28C968B5-B3F2-43D7-B663-C8110B112B7D}"/>
    <hyperlink ref="R31" r:id="rId44" xr:uid="{EC91D514-3B7F-446C-BFA3-A2BC6746A073}"/>
    <hyperlink ref="R32" r:id="rId45" xr:uid="{8BB95EE6-0B1D-4DC2-8831-3DE4890948E9}"/>
    <hyperlink ref="S30" r:id="rId46" xr:uid="{0EECB7F9-D18A-4C67-A2C5-BEA52514CAE5}"/>
    <hyperlink ref="S31" r:id="rId47" xr:uid="{FA83F567-F593-4251-8917-29BD5706A560}"/>
    <hyperlink ref="S32" r:id="rId48" xr:uid="{55D5A7C1-5370-4697-AA73-162F640A9AC9}"/>
    <hyperlink ref="R33" r:id="rId49" xr:uid="{D92562E5-A498-486B-B590-972302230246}"/>
    <hyperlink ref="S33" r:id="rId50" xr:uid="{18E5B7FB-6C3C-4DA5-A68C-43FDA8B23FAC}"/>
    <hyperlink ref="R34" r:id="rId51" xr:uid="{0A3AE625-7298-42F0-B665-CAB36CC667F1}"/>
    <hyperlink ref="R35" r:id="rId52" xr:uid="{2F4E24A3-D340-43CC-8814-A81D05D07C87}"/>
    <hyperlink ref="R36" r:id="rId53" xr:uid="{528D6058-778B-4FED-BBC4-576111034B20}"/>
    <hyperlink ref="S34" r:id="rId54" xr:uid="{47F96CE9-155B-4C1C-AA78-FD8FB9573063}"/>
    <hyperlink ref="S35" r:id="rId55" xr:uid="{EA1970DF-3C19-42ED-A9EB-E48D85C7FBC1}"/>
    <hyperlink ref="S36" r:id="rId56" xr:uid="{762547AC-BBA4-46BB-B7E3-B8C9134867A4}"/>
    <hyperlink ref="R37" r:id="rId57" xr:uid="{834AFCBC-715E-4640-996B-D5D8A1797148}"/>
    <hyperlink ref="S37" r:id="rId58" xr:uid="{57679E09-785F-4629-A98D-E8882DD1A9B8}"/>
    <hyperlink ref="R38" r:id="rId59" xr:uid="{AE95D2C4-D57B-4268-B9D2-93362DD3DB2E}"/>
    <hyperlink ref="R39" r:id="rId60" xr:uid="{D3C22B50-2409-4802-802F-F1826471B8DB}"/>
    <hyperlink ref="R40" r:id="rId61" xr:uid="{0235A7B6-1AFA-4540-9A2F-EEACD6C9E7D8}"/>
    <hyperlink ref="S38" r:id="rId62" xr:uid="{BBD3DEBA-5B76-4229-AEF7-3F55E66DBCAC}"/>
    <hyperlink ref="S39" r:id="rId63" xr:uid="{DE4D6F51-F030-44FD-BEC2-6C7506749201}"/>
    <hyperlink ref="S40" r:id="rId64" xr:uid="{472509F9-D81F-4C1D-83A8-890FD0225F9C}"/>
    <hyperlink ref="R42" r:id="rId65" xr:uid="{B9B412A4-CD96-41D0-B111-DE1E75B39A8D}"/>
    <hyperlink ref="S42" r:id="rId66" xr:uid="{EA6216E4-E1A3-411E-85F6-5660FCD38E2E}"/>
    <hyperlink ref="R43" r:id="rId67" xr:uid="{09D471F6-A57D-497C-8460-BE13BFAF241C}"/>
    <hyperlink ref="R44" r:id="rId68" xr:uid="{00619D02-90B6-4982-A17B-B179F8578E66}"/>
    <hyperlink ref="R45" r:id="rId69" xr:uid="{24D7FF56-DF28-4EC0-B0AB-CA9D4E928FC9}"/>
    <hyperlink ref="S43" r:id="rId70" xr:uid="{C786B8E9-670D-4D47-94DF-8A25FFBEB7CE}"/>
    <hyperlink ref="S44" r:id="rId71" xr:uid="{2608A092-FADD-4AB3-9124-1884582D2BF1}"/>
    <hyperlink ref="S45" r:id="rId72" xr:uid="{92FCAE5F-D1B5-48DE-8610-49A569B1FB27}"/>
    <hyperlink ref="R46" r:id="rId73" xr:uid="{B9E19B10-B180-43F3-A0B9-0E053B6B012F}"/>
    <hyperlink ref="S46" r:id="rId74" xr:uid="{314BCD24-1B7C-4023-8F5E-FA5B2CD59E6F}"/>
    <hyperlink ref="R47" r:id="rId75" xr:uid="{0D160ED1-5885-4519-AC24-0017C554B9D1}"/>
    <hyperlink ref="R48" r:id="rId76" xr:uid="{A3A98323-4543-438B-A145-0EC1276580BD}"/>
    <hyperlink ref="R49" r:id="rId77" xr:uid="{4A3D4EE6-DC46-4E27-B46C-37540A7D5B10}"/>
    <hyperlink ref="S47" r:id="rId78" xr:uid="{8CDB094B-95CC-4301-B182-54742063FAAC}"/>
    <hyperlink ref="S48" r:id="rId79" xr:uid="{0EE019E2-8C53-4EE3-8D0B-FE01C25736D2}"/>
    <hyperlink ref="S49" r:id="rId80" xr:uid="{490FA4B1-D422-4A15-AA49-9A75E9B3D826}"/>
    <hyperlink ref="R50" r:id="rId81" xr:uid="{AE9F90D7-E924-4FE9-AE7D-F11D2E32A345}"/>
    <hyperlink ref="S50" r:id="rId82" xr:uid="{F3E3B293-62A6-4CDA-A598-E602CC0F8405}"/>
    <hyperlink ref="R51" r:id="rId83" xr:uid="{9B9E617F-60C2-42AA-8138-76B92F3EAD03}"/>
    <hyperlink ref="R52" r:id="rId84" xr:uid="{7AA5D677-A21A-4CFE-AA9C-36581E87FC97}"/>
    <hyperlink ref="R53" r:id="rId85" xr:uid="{AAB3AC44-1142-4E7C-9145-0D749B27494F}"/>
    <hyperlink ref="S51" r:id="rId86" xr:uid="{D60F250E-4DDE-47B9-8283-D8BA4E00E50F}"/>
    <hyperlink ref="S52" r:id="rId87" xr:uid="{CC90269D-0166-42FD-802D-156521FB4DBB}"/>
    <hyperlink ref="S53" r:id="rId88" xr:uid="{245E2F12-A0DF-4136-A537-109256ABE1E1}"/>
    <hyperlink ref="R54" r:id="rId89" xr:uid="{E8519E74-F030-4E74-8D73-5AD51DB37EAD}"/>
    <hyperlink ref="S54" r:id="rId90" xr:uid="{0EBA601B-8A7D-4540-961F-67124C86CD98}"/>
    <hyperlink ref="R55" r:id="rId91" xr:uid="{B0AEC509-2F16-41E6-A261-D7CB440851B5}"/>
    <hyperlink ref="R56" r:id="rId92" xr:uid="{1CC64BA3-7C27-460C-94A4-3F606D0F11BC}"/>
    <hyperlink ref="R57" r:id="rId93" xr:uid="{8C137DAD-130C-4509-81D3-C4ADE7782200}"/>
    <hyperlink ref="S55" r:id="rId94" xr:uid="{14178D7A-D943-4646-879A-E44A12EBECB0}"/>
    <hyperlink ref="S56" r:id="rId95" xr:uid="{43712332-C271-42C3-9E26-12E605478A5F}"/>
    <hyperlink ref="S57" r:id="rId96" xr:uid="{CB6F9937-D7B8-4588-89F2-25FD7CDC3C4C}"/>
    <hyperlink ref="W12" r:id="rId97" xr:uid="{C86EFAF4-F3A6-433F-B79F-61970F7C00DC}"/>
    <hyperlink ref="W8" r:id="rId98" xr:uid="{E2DB9660-D7C9-47F4-AAA2-AC0C8B16B1D5}"/>
    <hyperlink ref="W20" r:id="rId99" xr:uid="{9CE6EFCE-E1E5-4186-A517-3CA84BF7DFBD}"/>
    <hyperlink ref="W16" r:id="rId100" xr:uid="{ACE40330-F16A-4DEC-99A3-6AA827E4F90B}"/>
    <hyperlink ref="W9:W11" r:id="rId101" display="https://api.andertal.com/uploads/media/Ecommezzo/1778939394413-Schwarz.png" xr:uid="{D4AD4C26-3F42-4F2C-99A4-B42AA61A7207}"/>
    <hyperlink ref="W13:W15" r:id="rId102" display="https://api.andertal.com/uploads/media/Ecommezzo/1778939427570-Weiss.png" xr:uid="{B4B4C958-C57F-4000-B411-9345232AD0F7}"/>
    <hyperlink ref="W17:W19" r:id="rId103" display="https://api.andertal.com/uploads/media/Ecommezzo/1778939394334-Blau.png" xr:uid="{821A4F6D-F628-4CB3-9F83-DEF1F1281B30}"/>
    <hyperlink ref="W21:W23" r:id="rId104" display="https://api.andertal.com/uploads/media/Ecommezzo/1778939394344-Rot.png" xr:uid="{728BBBAA-BE62-4600-97D4-68FF7233F23B}"/>
    <hyperlink ref="W29" r:id="rId105" xr:uid="{70D98EFC-BD23-4F09-A906-6E6A41B7B964}"/>
    <hyperlink ref="W25" r:id="rId106" xr:uid="{D9C2D2F7-79BC-4AE8-957F-63A06EC7EFD4}"/>
    <hyperlink ref="W37" r:id="rId107" xr:uid="{FA34576D-624A-4F9A-8D4F-49D89947E138}"/>
    <hyperlink ref="W33" r:id="rId108" xr:uid="{447E40EF-EB83-43CD-A032-3D352AFA108A}"/>
    <hyperlink ref="W26:W28" r:id="rId109" display="https://api.andertal.com/uploads/media/Ecommezzo/1778939394413-Schwarz.png" xr:uid="{95DA0DDC-1C26-4BB0-B2A9-216FB4DDE851}"/>
    <hyperlink ref="W30:W32" r:id="rId110" display="https://api.andertal.com/uploads/media/Ecommezzo/1778939427570-Weiss.png" xr:uid="{F06FDEBE-CAEA-4774-AEBF-FEDE8DA07BF2}"/>
    <hyperlink ref="W34:W36" r:id="rId111" display="https://api.andertal.com/uploads/media/Ecommezzo/1778939394334-Blau.png" xr:uid="{5B0CDD71-8E4C-40D3-AB19-31B433737FCC}"/>
    <hyperlink ref="W38:W40" r:id="rId112" display="https://api.andertal.com/uploads/media/Ecommezzo/1778939394344-Rot.png" xr:uid="{18E37FA1-9F61-4A45-B7A1-03E02FF0500B}"/>
    <hyperlink ref="W46" r:id="rId113" xr:uid="{31533250-FB93-442B-8F45-F2CCC46430D6}"/>
    <hyperlink ref="W42" r:id="rId114" xr:uid="{5CF17182-527C-415E-ABE8-972BE79CB700}"/>
    <hyperlink ref="W54" r:id="rId115" xr:uid="{F088C273-2E7B-4092-9BF9-42571626AD4E}"/>
    <hyperlink ref="W50" r:id="rId116" xr:uid="{330C51D3-70C2-464E-B096-197585B53A72}"/>
    <hyperlink ref="W43:W45" r:id="rId117" display="https://api.andertal.com/uploads/media/Ecommezzo/1778939394413-Schwarz.png" xr:uid="{61A97B69-0775-4524-819E-EE09EADFC19F}"/>
    <hyperlink ref="W47:W49" r:id="rId118" display="https://api.andertal.com/uploads/media/Ecommezzo/1778939427570-Weiss.png" xr:uid="{949F7274-2999-452A-978A-F87176BF6797}"/>
    <hyperlink ref="W51:W53" r:id="rId119" display="https://api.andertal.com/uploads/media/Ecommezzo/1778939394334-Blau.png" xr:uid="{5B84215A-E501-4292-8667-F81B8200A74D}"/>
    <hyperlink ref="W55:W57" r:id="rId120" display="https://api.andertal.com/uploads/media/Ecommezzo/1778939394344-Rot.png" xr:uid="{C5CF75A9-C297-4A71-B336-188C4D89B5DF}"/>
    <hyperlink ref="AO8" r:id="rId121" xr:uid="{501FCE6F-E0CB-46C9-8CC3-02673640D2A2}"/>
    <hyperlink ref="AO7" r:id="rId122" xr:uid="{193E6C11-696C-4F09-89B8-22D27E2E9786}"/>
    <hyperlink ref="AO9:AO57" r:id="rId123" display="https://api.andertal.com/uploads/media/Ecommezzo/1778939675023-Zahnarztpraxis_Serhat_O__zfidan__2_.pdf" xr:uid="{EA3A2600-F919-4010-A1FC-D2552DE2931B}"/>
    <hyperlink ref="AQ7" r:id="rId124" xr:uid="{21734B17-B5FD-4ED9-9AC1-58AD805CE879}"/>
    <hyperlink ref="AQ8:AQ57" r:id="rId125" display="https://api.andertal.com/uploads/media/Ecommezzo/1778939745365-ferocious-tiger-head-studio__1_.jpg" xr:uid="{41225354-0669-4670-B833-77657603817A}"/>
  </hyperlinks>
  <pageMargins left="0.7" right="0.7" top="0.75" bottom="0.75" header="0.3" footer="0.3"/>
  <pageSetup orientation="portrait" horizontalDpi="4294967295" verticalDpi="4294967295"/>
  <legacyDrawing r:id="rId126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Lists!$A$1:$A$2</xm:f>
          </x14:formula1>
          <xm:sqref>A4:A5000</xm:sqref>
        </x14:dataValidation>
        <x14:dataValidation type="list" allowBlank="1" xr:uid="{00000000-0002-0000-0000-000001000000}">
          <x14:formula1>
            <xm:f>Lists!$C$1:$C$5</xm:f>
          </x14:formula1>
          <xm:sqref>AJ4:AJ5000</xm:sqref>
        </x14:dataValidation>
        <x14:dataValidation type="list" allowBlank="1" xr:uid="{00000000-0002-0000-0000-000002000000}">
          <x14:formula1>
            <xm:f>Lists!$B$1:$B$2</xm:f>
          </x14:formula1>
          <xm:sqref>Y8:Y23 D4:D5000 Y25:Y40 Y42:Y57</xm:sqref>
        </x14:dataValidation>
        <x14:dataValidation type="list" allowBlank="1" xr:uid="{00000000-0002-0000-0000-000003000000}">
          <x14:formula1>
            <xm:f>Lists!$E$1:$E$4</xm:f>
          </x14:formula1>
          <xm:sqref>G4:G5000</xm:sqref>
        </x14:dataValidation>
        <x14:dataValidation type="list" allowBlank="1" xr:uid="{00000000-0002-0000-0000-000004000000}">
          <x14:formula1>
            <xm:f>Lists!$D$1:$D$3</xm:f>
          </x14:formula1>
          <xm:sqref>I4:I5000</xm:sqref>
        </x14:dataValidation>
        <x14:dataValidation type="list" allowBlank="1" xr:uid="{00000000-0002-0000-0000-000005000000}">
          <x14:formula1>
            <xm:f>Lists!$F$1:$F$1</xm:f>
          </x14:formula1>
          <xm:sqref>J4:J5000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5"/>
  <sheetViews>
    <sheetView workbookViewId="0"/>
  </sheetViews>
  <sheetFormatPr baseColWidth="10" defaultColWidth="88" defaultRowHeight="14.5" x14ac:dyDescent="0.35"/>
  <cols>
    <col min="1" max="1" width="4" customWidth="1"/>
    <col min="2" max="2" width="92" customWidth="1"/>
  </cols>
  <sheetData>
    <row r="1" spans="2:2" ht="10.65" customHeight="1" x14ac:dyDescent="0.35">
      <c r="B1" s="11" t="s">
        <v>382</v>
      </c>
    </row>
    <row r="2" spans="2:2" ht="10.65" customHeight="1" x14ac:dyDescent="0.35">
      <c r="B2" s="12" t="s">
        <v>356</v>
      </c>
    </row>
    <row r="3" spans="2:2" ht="10.65" customHeight="1" x14ac:dyDescent="0.35">
      <c r="B3" s="12" t="s">
        <v>383</v>
      </c>
    </row>
    <row r="4" spans="2:2" ht="10.65" customHeight="1" x14ac:dyDescent="0.35">
      <c r="B4" s="12" t="s">
        <v>356</v>
      </c>
    </row>
    <row r="5" spans="2:2" ht="10.65" customHeight="1" x14ac:dyDescent="0.35">
      <c r="B5" s="11" t="s">
        <v>384</v>
      </c>
    </row>
    <row r="6" spans="2:2" ht="10.65" customHeight="1" x14ac:dyDescent="0.35">
      <c r="B6" s="12" t="s">
        <v>385</v>
      </c>
    </row>
    <row r="7" spans="2:2" ht="10.65" customHeight="1" x14ac:dyDescent="0.35">
      <c r="B7" s="12" t="s">
        <v>386</v>
      </c>
    </row>
    <row r="8" spans="2:2" ht="10.65" customHeight="1" x14ac:dyDescent="0.35">
      <c r="B8" s="12" t="s">
        <v>387</v>
      </c>
    </row>
    <row r="9" spans="2:2" ht="10.65" customHeight="1" x14ac:dyDescent="0.35">
      <c r="B9" s="12" t="s">
        <v>388</v>
      </c>
    </row>
    <row r="10" spans="2:2" ht="10.65" customHeight="1" x14ac:dyDescent="0.35">
      <c r="B10" s="12" t="s">
        <v>356</v>
      </c>
    </row>
    <row r="11" spans="2:2" ht="10.65" customHeight="1" x14ac:dyDescent="0.35">
      <c r="B11" s="11" t="s">
        <v>389</v>
      </c>
    </row>
    <row r="12" spans="2:2" ht="10.65" customHeight="1" x14ac:dyDescent="0.35">
      <c r="B12" s="11" t="s">
        <v>390</v>
      </c>
    </row>
    <row r="13" spans="2:2" ht="10.65" customHeight="1" x14ac:dyDescent="0.35">
      <c r="B13" s="12" t="s">
        <v>356</v>
      </c>
    </row>
    <row r="14" spans="2:2" ht="10.65" customHeight="1" x14ac:dyDescent="0.35">
      <c r="B14" s="11" t="s">
        <v>391</v>
      </c>
    </row>
    <row r="15" spans="2:2" ht="10.65" customHeight="1" x14ac:dyDescent="0.35">
      <c r="B15" s="12" t="s">
        <v>392</v>
      </c>
    </row>
    <row r="16" spans="2:2" ht="10.65" customHeight="1" x14ac:dyDescent="0.35">
      <c r="B16" s="12" t="s">
        <v>356</v>
      </c>
    </row>
    <row r="17" spans="2:2" ht="10.65" customHeight="1" x14ac:dyDescent="0.35">
      <c r="B17" s="11" t="s">
        <v>393</v>
      </c>
    </row>
    <row r="18" spans="2:2" ht="10.65" customHeight="1" x14ac:dyDescent="0.35">
      <c r="B18" s="11" t="s">
        <v>394</v>
      </c>
    </row>
    <row r="19" spans="2:2" ht="10.65" customHeight="1" x14ac:dyDescent="0.35">
      <c r="B19" s="12" t="s">
        <v>395</v>
      </c>
    </row>
    <row r="20" spans="2:2" ht="10.65" customHeight="1" x14ac:dyDescent="0.35">
      <c r="B20" s="12" t="s">
        <v>396</v>
      </c>
    </row>
    <row r="21" spans="2:2" ht="10.65" customHeight="1" x14ac:dyDescent="0.35">
      <c r="B21" s="12" t="s">
        <v>397</v>
      </c>
    </row>
    <row r="22" spans="2:2" ht="10.65" customHeight="1" x14ac:dyDescent="0.35">
      <c r="B22" s="12" t="s">
        <v>398</v>
      </c>
    </row>
    <row r="23" spans="2:2" ht="10.65" customHeight="1" x14ac:dyDescent="0.35">
      <c r="B23" s="12" t="s">
        <v>399</v>
      </c>
    </row>
    <row r="24" spans="2:2" ht="10.65" customHeight="1" x14ac:dyDescent="0.35">
      <c r="B24" s="12" t="s">
        <v>400</v>
      </c>
    </row>
    <row r="25" spans="2:2" ht="10.65" customHeight="1" x14ac:dyDescent="0.35">
      <c r="B25" s="12" t="s">
        <v>401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ColWidth="8.7265625" defaultRowHeight="14.5" x14ac:dyDescent="0.35"/>
  <cols>
    <col min="1" max="1" width="14" customWidth="1"/>
    <col min="2" max="2" width="12" customWidth="1"/>
    <col min="3" max="3" width="10" customWidth="1"/>
    <col min="4" max="4" width="28" customWidth="1"/>
    <col min="5" max="5" width="22" customWidth="1"/>
    <col min="6" max="6" width="26" customWidth="1"/>
  </cols>
  <sheetData>
    <row r="1" spans="1:6" x14ac:dyDescent="0.35">
      <c r="A1" t="s">
        <v>352</v>
      </c>
      <c r="B1" t="s">
        <v>402</v>
      </c>
      <c r="C1" t="s">
        <v>403</v>
      </c>
      <c r="D1" t="s">
        <v>359</v>
      </c>
      <c r="E1" t="s">
        <v>357</v>
      </c>
      <c r="F1" t="s">
        <v>360</v>
      </c>
    </row>
    <row r="2" spans="1:6" x14ac:dyDescent="0.35">
      <c r="A2" t="s">
        <v>372</v>
      </c>
      <c r="B2" t="s">
        <v>354</v>
      </c>
      <c r="C2" t="s">
        <v>364</v>
      </c>
      <c r="D2" t="s">
        <v>404</v>
      </c>
      <c r="E2" t="s">
        <v>405</v>
      </c>
    </row>
    <row r="3" spans="1:6" x14ac:dyDescent="0.35">
      <c r="C3" t="s">
        <v>406</v>
      </c>
      <c r="D3" t="s">
        <v>407</v>
      </c>
      <c r="E3" t="s">
        <v>408</v>
      </c>
    </row>
    <row r="4" spans="1:6" x14ac:dyDescent="0.35">
      <c r="C4" t="s">
        <v>409</v>
      </c>
      <c r="E4" t="s">
        <v>410</v>
      </c>
    </row>
    <row r="5" spans="1:6" x14ac:dyDescent="0.35">
      <c r="C5" t="s">
        <v>411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2026-05-16T13:17:24Z</dcterms:created>
  <dcterms:modified xsi:type="dcterms:W3CDTF">2026-05-16T14:07:05Z</dcterms:modified>
  <cp:category/>
</cp:coreProperties>
</file>