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274D34E1-CE50-4438-8846-DA39B613724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ducts" sheetId="1" r:id="rId1"/>
    <sheet name="📋 Anleitung" sheetId="2" r:id="rId2"/>
    <sheet name="Lists" sheetId="3" state="veryHidden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O77" i="1" l="1"/>
  <c r="DO76" i="1"/>
  <c r="DO75" i="1"/>
  <c r="DO74" i="1"/>
  <c r="DO73" i="1"/>
  <c r="DO72" i="1"/>
  <c r="DO71" i="1"/>
  <c r="DO70" i="1"/>
  <c r="DO69" i="1"/>
  <c r="DO68" i="1"/>
  <c r="DO67" i="1"/>
  <c r="DO66" i="1"/>
  <c r="DO65" i="1"/>
  <c r="DO64" i="1"/>
  <c r="DO63" i="1"/>
  <c r="DO62" i="1"/>
  <c r="DO61" i="1"/>
  <c r="DO60" i="1"/>
  <c r="DO59" i="1"/>
  <c r="DO58" i="1"/>
  <c r="DO57" i="1"/>
  <c r="DO56" i="1"/>
  <c r="DO55" i="1"/>
  <c r="DO54" i="1"/>
  <c r="DO53" i="1"/>
  <c r="DO52" i="1"/>
  <c r="DO51" i="1"/>
  <c r="DO50" i="1"/>
  <c r="DO49" i="1"/>
  <c r="DO48" i="1"/>
  <c r="DO47" i="1"/>
  <c r="DO46" i="1"/>
  <c r="DO45" i="1"/>
  <c r="DO44" i="1"/>
  <c r="DO43" i="1"/>
  <c r="DO42" i="1"/>
  <c r="DO40" i="1"/>
  <c r="DO39" i="1"/>
  <c r="DO38" i="1"/>
  <c r="DO37" i="1"/>
  <c r="DO36" i="1"/>
  <c r="DO35" i="1"/>
  <c r="DO34" i="1"/>
  <c r="DO33" i="1"/>
  <c r="DO32" i="1"/>
  <c r="DO31" i="1"/>
  <c r="DO30" i="1"/>
  <c r="DO29" i="1"/>
  <c r="DO28" i="1"/>
  <c r="DO27" i="1"/>
  <c r="DO26" i="1"/>
  <c r="DO25" i="1"/>
  <c r="DO24" i="1"/>
  <c r="DO23" i="1"/>
  <c r="DO22" i="1"/>
  <c r="DO21" i="1"/>
  <c r="DO20" i="1"/>
  <c r="DO19" i="1"/>
  <c r="DO18" i="1"/>
  <c r="DO17" i="1"/>
  <c r="DO16" i="1"/>
  <c r="DO15" i="1"/>
  <c r="DO14" i="1"/>
  <c r="DO13" i="1"/>
  <c r="DO12" i="1"/>
  <c r="DO11" i="1"/>
  <c r="DO10" i="1"/>
  <c r="DO9" i="1"/>
  <c r="DO8" i="1"/>
  <c r="DO7" i="1"/>
  <c r="DO6" i="1"/>
  <c r="DO5" i="1"/>
  <c r="DI43" i="1"/>
  <c r="DI44" i="1" s="1"/>
  <c r="DI45" i="1" s="1"/>
  <c r="DI46" i="1" s="1"/>
  <c r="DI47" i="1" s="1"/>
  <c r="DI48" i="1" s="1"/>
  <c r="DI49" i="1" s="1"/>
  <c r="DI50" i="1" s="1"/>
  <c r="DI51" i="1" s="1"/>
  <c r="DI52" i="1" s="1"/>
  <c r="DI53" i="1" s="1"/>
  <c r="DI54" i="1" s="1"/>
  <c r="DI55" i="1" s="1"/>
  <c r="DI56" i="1" s="1"/>
  <c r="DI57" i="1" s="1"/>
  <c r="DI58" i="1" s="1"/>
  <c r="DI59" i="1" s="1"/>
  <c r="DI60" i="1" s="1"/>
  <c r="DI61" i="1" s="1"/>
  <c r="DI62" i="1" s="1"/>
  <c r="DI63" i="1" s="1"/>
  <c r="DI64" i="1" s="1"/>
  <c r="DI65" i="1" s="1"/>
  <c r="DI66" i="1" s="1"/>
  <c r="DI67" i="1" s="1"/>
  <c r="DI68" i="1" s="1"/>
  <c r="DI69" i="1" s="1"/>
  <c r="DI70" i="1" s="1"/>
  <c r="DI71" i="1" s="1"/>
  <c r="DI72" i="1" s="1"/>
  <c r="DI73" i="1" s="1"/>
  <c r="DI74" i="1" s="1"/>
  <c r="DI75" i="1" s="1"/>
  <c r="DI76" i="1" s="1"/>
  <c r="DI77" i="1" s="1"/>
  <c r="DI6" i="1"/>
  <c r="DI7" i="1" s="1"/>
  <c r="DI8" i="1" s="1"/>
  <c r="DI9" i="1" s="1"/>
  <c r="DI10" i="1" s="1"/>
  <c r="DI11" i="1" s="1"/>
  <c r="DI12" i="1" s="1"/>
  <c r="DI13" i="1" s="1"/>
  <c r="DI14" i="1" s="1"/>
  <c r="DI15" i="1" s="1"/>
  <c r="DI16" i="1" s="1"/>
  <c r="DI17" i="1" s="1"/>
  <c r="DI18" i="1" s="1"/>
  <c r="DI19" i="1" s="1"/>
  <c r="DI20" i="1" s="1"/>
  <c r="DI21" i="1" s="1"/>
  <c r="DI22" i="1" s="1"/>
  <c r="DI23" i="1" s="1"/>
  <c r="DI24" i="1" s="1"/>
  <c r="DI25" i="1" s="1"/>
  <c r="DI26" i="1" s="1"/>
  <c r="DI27" i="1" s="1"/>
  <c r="DI28" i="1" s="1"/>
  <c r="DI29" i="1" s="1"/>
  <c r="DI30" i="1" s="1"/>
  <c r="DI31" i="1" s="1"/>
  <c r="DI32" i="1" s="1"/>
  <c r="DI33" i="1" s="1"/>
  <c r="DI34" i="1" s="1"/>
  <c r="DI35" i="1" s="1"/>
  <c r="DI36" i="1" s="1"/>
  <c r="DI37" i="1" s="1"/>
  <c r="DI38" i="1" s="1"/>
  <c r="DI39" i="1" s="1"/>
  <c r="DI40" i="1" s="1"/>
  <c r="CL77" i="1"/>
  <c r="CL76" i="1"/>
  <c r="CL75" i="1"/>
  <c r="CL74" i="1"/>
  <c r="CL73" i="1"/>
  <c r="CL72" i="1"/>
  <c r="CL71" i="1"/>
  <c r="CL70" i="1"/>
  <c r="CL69" i="1"/>
  <c r="CL68" i="1"/>
  <c r="CL67" i="1"/>
  <c r="CL66" i="1"/>
  <c r="CL65" i="1"/>
  <c r="CL64" i="1"/>
  <c r="CL63" i="1"/>
  <c r="CL62" i="1"/>
  <c r="CL61" i="1"/>
  <c r="CL60" i="1"/>
  <c r="CL59" i="1"/>
  <c r="CL58" i="1"/>
  <c r="CL57" i="1"/>
  <c r="CL56" i="1"/>
  <c r="CL55" i="1"/>
  <c r="CL54" i="1"/>
  <c r="CL53" i="1"/>
  <c r="CL52" i="1"/>
  <c r="CL51" i="1"/>
  <c r="CL50" i="1"/>
  <c r="CL49" i="1"/>
  <c r="CL48" i="1"/>
  <c r="CL47" i="1"/>
  <c r="CL46" i="1"/>
  <c r="CL45" i="1"/>
  <c r="CL44" i="1"/>
  <c r="CL43" i="1"/>
  <c r="CL42" i="1"/>
  <c r="CL40" i="1"/>
  <c r="CL39" i="1"/>
  <c r="CL38" i="1"/>
  <c r="CL37" i="1"/>
  <c r="CL36" i="1"/>
  <c r="CL35" i="1"/>
  <c r="CL34" i="1"/>
  <c r="CP34" i="1" s="1"/>
  <c r="CL33" i="1"/>
  <c r="CL32" i="1"/>
  <c r="CL31" i="1"/>
  <c r="CL30" i="1"/>
  <c r="CL29" i="1"/>
  <c r="CL28" i="1"/>
  <c r="CL27" i="1"/>
  <c r="CL26" i="1"/>
  <c r="CL25" i="1"/>
  <c r="CL24" i="1"/>
  <c r="CL23" i="1"/>
  <c r="CL22" i="1"/>
  <c r="CL21" i="1"/>
  <c r="CL20" i="1"/>
  <c r="CL19" i="1"/>
  <c r="CL18" i="1"/>
  <c r="CL17" i="1"/>
  <c r="CL16" i="1"/>
  <c r="CL15" i="1"/>
  <c r="CL14" i="1"/>
  <c r="CL13" i="1"/>
  <c r="CL12" i="1"/>
  <c r="CL11" i="1"/>
  <c r="CL10" i="1"/>
  <c r="CL9" i="1"/>
  <c r="CL8" i="1"/>
  <c r="CL7" i="1"/>
  <c r="CL6" i="1"/>
  <c r="CL5" i="1"/>
  <c r="CG77" i="1"/>
  <c r="CG76" i="1"/>
  <c r="CG75" i="1"/>
  <c r="CG74" i="1"/>
  <c r="CG73" i="1"/>
  <c r="CG72" i="1"/>
  <c r="CG71" i="1"/>
  <c r="CG70" i="1"/>
  <c r="CG69" i="1"/>
  <c r="CG68" i="1"/>
  <c r="CG67" i="1"/>
  <c r="CG66" i="1"/>
  <c r="CG65" i="1"/>
  <c r="CG64" i="1"/>
  <c r="CG63" i="1"/>
  <c r="CG62" i="1"/>
  <c r="CG61" i="1"/>
  <c r="CG60" i="1"/>
  <c r="CG59" i="1"/>
  <c r="CG58" i="1"/>
  <c r="CG57" i="1"/>
  <c r="CG56" i="1"/>
  <c r="CG55" i="1"/>
  <c r="CG54" i="1"/>
  <c r="CG53" i="1"/>
  <c r="CG52" i="1"/>
  <c r="CG51" i="1"/>
  <c r="CG50" i="1"/>
  <c r="CG49" i="1"/>
  <c r="CG48" i="1"/>
  <c r="CG47" i="1"/>
  <c r="CG46" i="1"/>
  <c r="CG45" i="1"/>
  <c r="CJ45" i="1" s="1"/>
  <c r="CG44" i="1"/>
  <c r="CG43" i="1"/>
  <c r="CG42" i="1"/>
  <c r="CG40" i="1"/>
  <c r="CG39" i="1"/>
  <c r="CG38" i="1"/>
  <c r="CG37" i="1"/>
  <c r="CG36" i="1"/>
  <c r="CG35" i="1"/>
  <c r="CG34" i="1"/>
  <c r="CG33" i="1"/>
  <c r="CG32" i="1"/>
  <c r="CG31" i="1"/>
  <c r="CG30" i="1"/>
  <c r="CJ30" i="1" s="1"/>
  <c r="CG29" i="1"/>
  <c r="CG28" i="1"/>
  <c r="CG27" i="1"/>
  <c r="CG26" i="1"/>
  <c r="CG25" i="1"/>
  <c r="CG24" i="1"/>
  <c r="CG23" i="1"/>
  <c r="CG22" i="1"/>
  <c r="CG21" i="1"/>
  <c r="CG20" i="1"/>
  <c r="CG19" i="1"/>
  <c r="CG18" i="1"/>
  <c r="CG17" i="1"/>
  <c r="CG16" i="1"/>
  <c r="CG15" i="1"/>
  <c r="CG14" i="1"/>
  <c r="CG13" i="1"/>
  <c r="CG12" i="1"/>
  <c r="CG11" i="1"/>
  <c r="CG10" i="1"/>
  <c r="CG9" i="1"/>
  <c r="CG8" i="1"/>
  <c r="CG7" i="1"/>
  <c r="CG6" i="1"/>
  <c r="CG5" i="1"/>
  <c r="CB77" i="1"/>
  <c r="CB76" i="1"/>
  <c r="CB75" i="1"/>
  <c r="CB74" i="1"/>
  <c r="CB73" i="1"/>
  <c r="CB72" i="1"/>
  <c r="CB71" i="1"/>
  <c r="CB70" i="1"/>
  <c r="CB69" i="1"/>
  <c r="CB68" i="1"/>
  <c r="CB67" i="1"/>
  <c r="CB66" i="1"/>
  <c r="CB65" i="1"/>
  <c r="CB64" i="1"/>
  <c r="CB63" i="1"/>
  <c r="CB62" i="1"/>
  <c r="CB61" i="1"/>
  <c r="CB60" i="1"/>
  <c r="CB59" i="1"/>
  <c r="CB58" i="1"/>
  <c r="CB57" i="1"/>
  <c r="CB56" i="1"/>
  <c r="CB55" i="1"/>
  <c r="CB54" i="1"/>
  <c r="CB53" i="1"/>
  <c r="CB52" i="1"/>
  <c r="CB51" i="1"/>
  <c r="CB50" i="1"/>
  <c r="CB49" i="1"/>
  <c r="CB48" i="1"/>
  <c r="CB47" i="1"/>
  <c r="CB46" i="1"/>
  <c r="CB45" i="1"/>
  <c r="CB44" i="1"/>
  <c r="CB43" i="1"/>
  <c r="CB42" i="1"/>
  <c r="CB40" i="1"/>
  <c r="CB39" i="1"/>
  <c r="CB38" i="1"/>
  <c r="CB37" i="1"/>
  <c r="CB36" i="1"/>
  <c r="CB35" i="1"/>
  <c r="CB34" i="1"/>
  <c r="CB33" i="1"/>
  <c r="CB32" i="1"/>
  <c r="CB31" i="1"/>
  <c r="CD31" i="1" s="1"/>
  <c r="CB30" i="1"/>
  <c r="CB29" i="1"/>
  <c r="CB28" i="1"/>
  <c r="CB27" i="1"/>
  <c r="CB26" i="1"/>
  <c r="CB25" i="1"/>
  <c r="CB24" i="1"/>
  <c r="CB23" i="1"/>
  <c r="CB22" i="1"/>
  <c r="CB21" i="1"/>
  <c r="CB20" i="1"/>
  <c r="CB19" i="1"/>
  <c r="CB18" i="1"/>
  <c r="CB17" i="1"/>
  <c r="CF17" i="1" s="1"/>
  <c r="CB16" i="1"/>
  <c r="CB15" i="1"/>
  <c r="CB14" i="1"/>
  <c r="CB13" i="1"/>
  <c r="CB12" i="1"/>
  <c r="CB11" i="1"/>
  <c r="CB10" i="1"/>
  <c r="CB9" i="1"/>
  <c r="CB8" i="1"/>
  <c r="CB7" i="1"/>
  <c r="CB6" i="1"/>
  <c r="CB5" i="1"/>
  <c r="BW77" i="1"/>
  <c r="BW76" i="1"/>
  <c r="BW75" i="1"/>
  <c r="BW74" i="1"/>
  <c r="BW73" i="1"/>
  <c r="BW72" i="1"/>
  <c r="BW71" i="1"/>
  <c r="BW70" i="1"/>
  <c r="BW69" i="1"/>
  <c r="BW68" i="1"/>
  <c r="BW67" i="1"/>
  <c r="BW66" i="1"/>
  <c r="BW65" i="1"/>
  <c r="BW64" i="1"/>
  <c r="BW63" i="1"/>
  <c r="BW62" i="1"/>
  <c r="BW61" i="1"/>
  <c r="BW60" i="1"/>
  <c r="BW59" i="1"/>
  <c r="BW58" i="1"/>
  <c r="BW57" i="1"/>
  <c r="BW56" i="1"/>
  <c r="BW55" i="1"/>
  <c r="BW54" i="1"/>
  <c r="BW53" i="1"/>
  <c r="BW52" i="1"/>
  <c r="BW51" i="1"/>
  <c r="CA51" i="1" s="1"/>
  <c r="BW50" i="1"/>
  <c r="BW49" i="1"/>
  <c r="BW48" i="1"/>
  <c r="BW47" i="1"/>
  <c r="BW46" i="1"/>
  <c r="BW45" i="1"/>
  <c r="BW44" i="1"/>
  <c r="BW43" i="1"/>
  <c r="BW42" i="1"/>
  <c r="BW40" i="1"/>
  <c r="BW39" i="1"/>
  <c r="BW38" i="1"/>
  <c r="BW37" i="1"/>
  <c r="BW36" i="1"/>
  <c r="BW35" i="1"/>
  <c r="BW34" i="1"/>
  <c r="BW33" i="1"/>
  <c r="BW32" i="1"/>
  <c r="BW31" i="1"/>
  <c r="BW30" i="1"/>
  <c r="BW29" i="1"/>
  <c r="BW28" i="1"/>
  <c r="BW27" i="1"/>
  <c r="BW26" i="1"/>
  <c r="BW25" i="1"/>
  <c r="BW24" i="1"/>
  <c r="BW23" i="1"/>
  <c r="BW22" i="1"/>
  <c r="BW21" i="1"/>
  <c r="BW20" i="1"/>
  <c r="BW19" i="1"/>
  <c r="BW18" i="1"/>
  <c r="BW17" i="1"/>
  <c r="BW16" i="1"/>
  <c r="BW15" i="1"/>
  <c r="BW14" i="1"/>
  <c r="BW13" i="1"/>
  <c r="BW12" i="1"/>
  <c r="BW11" i="1"/>
  <c r="BW10" i="1"/>
  <c r="BW9" i="1"/>
  <c r="BW8" i="1"/>
  <c r="BW7" i="1"/>
  <c r="BW6" i="1"/>
  <c r="BW5" i="1"/>
  <c r="BR77" i="1"/>
  <c r="BR76" i="1"/>
  <c r="BR75" i="1"/>
  <c r="BR74" i="1"/>
  <c r="BR73" i="1"/>
  <c r="BR72" i="1"/>
  <c r="BR71" i="1"/>
  <c r="BR70" i="1"/>
  <c r="BR69" i="1"/>
  <c r="BR68" i="1"/>
  <c r="BR67" i="1"/>
  <c r="BR66" i="1"/>
  <c r="BR65" i="1"/>
  <c r="BR64" i="1"/>
  <c r="BR63" i="1"/>
  <c r="BR62" i="1"/>
  <c r="BR61" i="1"/>
  <c r="BR60" i="1"/>
  <c r="BR59" i="1"/>
  <c r="BR58" i="1"/>
  <c r="BR57" i="1"/>
  <c r="BR56" i="1"/>
  <c r="BR55" i="1"/>
  <c r="BR54" i="1"/>
  <c r="BR53" i="1"/>
  <c r="BR52" i="1"/>
  <c r="BR51" i="1"/>
  <c r="BR50" i="1"/>
  <c r="BR49" i="1"/>
  <c r="BR48" i="1"/>
  <c r="BR47" i="1"/>
  <c r="BR46" i="1"/>
  <c r="BR45" i="1"/>
  <c r="BR44" i="1"/>
  <c r="BR43" i="1"/>
  <c r="BR42" i="1"/>
  <c r="BR40" i="1"/>
  <c r="BR39" i="1"/>
  <c r="BR38" i="1"/>
  <c r="BR37" i="1"/>
  <c r="BR36" i="1"/>
  <c r="BR35" i="1"/>
  <c r="BR34" i="1"/>
  <c r="BR33" i="1"/>
  <c r="BR32" i="1"/>
  <c r="BR31" i="1"/>
  <c r="BR30" i="1"/>
  <c r="BR29" i="1"/>
  <c r="BR28" i="1"/>
  <c r="BR27" i="1"/>
  <c r="BR26" i="1"/>
  <c r="BR25" i="1"/>
  <c r="BV25" i="1" s="1"/>
  <c r="BR24" i="1"/>
  <c r="BR23" i="1"/>
  <c r="BR22" i="1"/>
  <c r="BR21" i="1"/>
  <c r="BR20" i="1"/>
  <c r="BR19" i="1"/>
  <c r="BR18" i="1"/>
  <c r="BR17" i="1"/>
  <c r="BR16" i="1"/>
  <c r="BR15" i="1"/>
  <c r="BR14" i="1"/>
  <c r="BR13" i="1"/>
  <c r="BR12" i="1"/>
  <c r="BR11" i="1"/>
  <c r="BR10" i="1"/>
  <c r="BR9" i="1"/>
  <c r="BR8" i="1"/>
  <c r="BR7" i="1"/>
  <c r="BR6" i="1"/>
  <c r="BR5" i="1"/>
  <c r="BM6" i="1"/>
  <c r="BM5" i="1"/>
  <c r="BM40" i="1"/>
  <c r="BM39" i="1"/>
  <c r="BM38" i="1"/>
  <c r="BM37" i="1"/>
  <c r="BM36" i="1"/>
  <c r="BM35" i="1"/>
  <c r="BM34" i="1"/>
  <c r="BM33" i="1"/>
  <c r="BM32" i="1"/>
  <c r="BM31" i="1"/>
  <c r="BM30" i="1"/>
  <c r="BM29" i="1"/>
  <c r="BM28" i="1"/>
  <c r="BM27" i="1"/>
  <c r="BM26" i="1"/>
  <c r="BM25" i="1"/>
  <c r="BM24" i="1"/>
  <c r="BM23" i="1"/>
  <c r="BM22" i="1"/>
  <c r="BM21" i="1"/>
  <c r="BM20" i="1"/>
  <c r="BM19" i="1"/>
  <c r="BM18" i="1"/>
  <c r="BM17" i="1"/>
  <c r="BM16" i="1"/>
  <c r="BM15" i="1"/>
  <c r="BM14" i="1"/>
  <c r="BM13" i="1"/>
  <c r="BM12" i="1"/>
  <c r="BM11" i="1"/>
  <c r="BM10" i="1"/>
  <c r="BM9" i="1"/>
  <c r="BM8" i="1"/>
  <c r="BM7" i="1"/>
  <c r="BQ7" i="1" s="1"/>
  <c r="BQ36" i="1"/>
  <c r="BM77" i="1"/>
  <c r="BM76" i="1"/>
  <c r="BM75" i="1"/>
  <c r="BM74" i="1"/>
  <c r="BM73" i="1"/>
  <c r="BM72" i="1"/>
  <c r="BM71" i="1"/>
  <c r="BM70" i="1"/>
  <c r="BM69" i="1"/>
  <c r="BM68" i="1"/>
  <c r="BM67" i="1"/>
  <c r="BM66" i="1"/>
  <c r="BM65" i="1"/>
  <c r="BM64" i="1"/>
  <c r="BM63" i="1"/>
  <c r="BM62" i="1"/>
  <c r="BM61" i="1"/>
  <c r="BM60" i="1"/>
  <c r="BM59" i="1"/>
  <c r="BM58" i="1"/>
  <c r="BM57" i="1"/>
  <c r="BM56" i="1"/>
  <c r="BM55" i="1"/>
  <c r="BM54" i="1"/>
  <c r="BM53" i="1"/>
  <c r="BM52" i="1"/>
  <c r="BM51" i="1"/>
  <c r="BM50" i="1"/>
  <c r="BM49" i="1"/>
  <c r="BM48" i="1"/>
  <c r="BM47" i="1"/>
  <c r="BM46" i="1"/>
  <c r="BO46" i="1" s="1"/>
  <c r="BM45" i="1"/>
  <c r="BM44" i="1"/>
  <c r="BM43" i="1"/>
  <c r="BM42" i="1"/>
  <c r="BQ39" i="1"/>
  <c r="BP39" i="1"/>
  <c r="BO39" i="1"/>
  <c r="BQ38" i="1"/>
  <c r="BP38" i="1"/>
  <c r="BO38" i="1"/>
  <c r="BQ37" i="1"/>
  <c r="BP37" i="1"/>
  <c r="BO37" i="1"/>
  <c r="BP36" i="1"/>
  <c r="BO36" i="1"/>
  <c r="BQ35" i="1"/>
  <c r="BP35" i="1"/>
  <c r="BO35" i="1"/>
  <c r="BQ34" i="1"/>
  <c r="BP34" i="1"/>
  <c r="BO34" i="1"/>
  <c r="BQ33" i="1"/>
  <c r="BP33" i="1"/>
  <c r="BO33" i="1"/>
  <c r="BQ32" i="1"/>
  <c r="BP32" i="1"/>
  <c r="BO32" i="1"/>
  <c r="BQ31" i="1"/>
  <c r="BP31" i="1"/>
  <c r="BO31" i="1"/>
  <c r="BQ30" i="1"/>
  <c r="BP30" i="1"/>
  <c r="BO30" i="1"/>
  <c r="BQ29" i="1"/>
  <c r="BP29" i="1"/>
  <c r="BO29" i="1"/>
  <c r="BQ28" i="1"/>
  <c r="BP28" i="1"/>
  <c r="BO28" i="1"/>
  <c r="BQ27" i="1"/>
  <c r="BP27" i="1"/>
  <c r="BO27" i="1"/>
  <c r="BQ26" i="1"/>
  <c r="BP26" i="1"/>
  <c r="BO26" i="1"/>
  <c r="BQ25" i="1"/>
  <c r="BP25" i="1"/>
  <c r="BO25" i="1"/>
  <c r="BQ24" i="1"/>
  <c r="BP24" i="1"/>
  <c r="BO24" i="1"/>
  <c r="BQ23" i="1"/>
  <c r="BP23" i="1"/>
  <c r="BO23" i="1"/>
  <c r="BQ22" i="1"/>
  <c r="BP22" i="1"/>
  <c r="BO22" i="1"/>
  <c r="BQ21" i="1"/>
  <c r="BP21" i="1"/>
  <c r="BO21" i="1"/>
  <c r="BQ20" i="1"/>
  <c r="BP20" i="1"/>
  <c r="BO20" i="1"/>
  <c r="BQ19" i="1"/>
  <c r="BP19" i="1"/>
  <c r="BO19" i="1"/>
  <c r="BQ18" i="1"/>
  <c r="BP18" i="1"/>
  <c r="BO18" i="1"/>
  <c r="BQ17" i="1"/>
  <c r="BP17" i="1"/>
  <c r="BO17" i="1"/>
  <c r="BQ16" i="1"/>
  <c r="BP16" i="1"/>
  <c r="BO16" i="1"/>
  <c r="BQ15" i="1"/>
  <c r="BP15" i="1"/>
  <c r="BO15" i="1"/>
  <c r="BQ14" i="1"/>
  <c r="BP14" i="1"/>
  <c r="BO14" i="1"/>
  <c r="BQ13" i="1"/>
  <c r="BP13" i="1"/>
  <c r="BO13" i="1"/>
  <c r="BQ12" i="1"/>
  <c r="BP12" i="1"/>
  <c r="BO12" i="1"/>
  <c r="BQ11" i="1"/>
  <c r="BP11" i="1"/>
  <c r="BO11" i="1"/>
  <c r="BQ10" i="1"/>
  <c r="BP10" i="1"/>
  <c r="BO10" i="1"/>
  <c r="BQ9" i="1"/>
  <c r="BP9" i="1"/>
  <c r="BO9" i="1"/>
  <c r="BQ8" i="1"/>
  <c r="BP8" i="1"/>
  <c r="BO8" i="1"/>
  <c r="BP7" i="1"/>
  <c r="BO7" i="1"/>
  <c r="K43" i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DQ77" i="1" l="1"/>
  <c r="DP77" i="1"/>
  <c r="DQ76" i="1"/>
  <c r="DP76" i="1"/>
  <c r="DQ75" i="1"/>
  <c r="DP75" i="1"/>
  <c r="DQ74" i="1"/>
  <c r="DP74" i="1"/>
  <c r="DP73" i="1"/>
  <c r="DQ73" i="1"/>
  <c r="DQ72" i="1"/>
  <c r="DP72" i="1"/>
  <c r="DQ71" i="1"/>
  <c r="DP71" i="1"/>
  <c r="DQ70" i="1"/>
  <c r="DP70" i="1"/>
  <c r="DQ69" i="1"/>
  <c r="DP69" i="1"/>
  <c r="DQ68" i="1"/>
  <c r="DP68" i="1"/>
  <c r="DQ67" i="1"/>
  <c r="DP67" i="1"/>
  <c r="DQ66" i="1"/>
  <c r="DP66" i="1"/>
  <c r="DQ65" i="1"/>
  <c r="DP65" i="1"/>
  <c r="DP64" i="1"/>
  <c r="DQ64" i="1"/>
  <c r="DP63" i="1"/>
  <c r="DQ63" i="1"/>
  <c r="DQ62" i="1"/>
  <c r="DP62" i="1"/>
  <c r="DQ61" i="1"/>
  <c r="DP61" i="1"/>
  <c r="DQ60" i="1"/>
  <c r="DP60" i="1"/>
  <c r="DQ59" i="1"/>
  <c r="DP59" i="1"/>
  <c r="DP58" i="1"/>
  <c r="DQ58" i="1"/>
  <c r="DQ57" i="1"/>
  <c r="DP57" i="1"/>
  <c r="DQ56" i="1"/>
  <c r="DP56" i="1"/>
  <c r="DP55" i="1"/>
  <c r="DQ55" i="1"/>
  <c r="DP54" i="1"/>
  <c r="DQ54" i="1"/>
  <c r="DQ53" i="1"/>
  <c r="DP53" i="1"/>
  <c r="DP52" i="1"/>
  <c r="DQ52" i="1"/>
  <c r="DP51" i="1"/>
  <c r="DQ51" i="1"/>
  <c r="DP50" i="1"/>
  <c r="DQ50" i="1"/>
  <c r="DP49" i="1"/>
  <c r="DQ49" i="1"/>
  <c r="DQ48" i="1"/>
  <c r="DP48" i="1"/>
  <c r="DP47" i="1"/>
  <c r="DQ47" i="1"/>
  <c r="DQ46" i="1"/>
  <c r="DP46" i="1"/>
  <c r="DQ45" i="1"/>
  <c r="DP45" i="1"/>
  <c r="DP44" i="1"/>
  <c r="DQ44" i="1"/>
  <c r="DP43" i="1"/>
  <c r="DQ43" i="1"/>
  <c r="DQ42" i="1"/>
  <c r="DP42" i="1"/>
  <c r="DQ40" i="1"/>
  <c r="DP40" i="1"/>
  <c r="DQ39" i="1"/>
  <c r="DP39" i="1"/>
  <c r="DP38" i="1"/>
  <c r="DQ38" i="1"/>
  <c r="DQ37" i="1"/>
  <c r="DP37" i="1"/>
  <c r="DP36" i="1"/>
  <c r="DQ36" i="1"/>
  <c r="DQ35" i="1"/>
  <c r="DP35" i="1"/>
  <c r="DQ34" i="1"/>
  <c r="DP34" i="1"/>
  <c r="DP33" i="1"/>
  <c r="DQ33" i="1"/>
  <c r="DP32" i="1"/>
  <c r="DQ32" i="1"/>
  <c r="DQ31" i="1"/>
  <c r="DP31" i="1"/>
  <c r="DP30" i="1"/>
  <c r="DQ30" i="1"/>
  <c r="DQ29" i="1"/>
  <c r="DP29" i="1"/>
  <c r="DQ28" i="1"/>
  <c r="DP28" i="1"/>
  <c r="DP27" i="1"/>
  <c r="DQ27" i="1"/>
  <c r="DP26" i="1"/>
  <c r="DQ26" i="1"/>
  <c r="DP25" i="1"/>
  <c r="DQ25" i="1"/>
  <c r="DQ24" i="1"/>
  <c r="DP24" i="1"/>
  <c r="DQ23" i="1"/>
  <c r="DP23" i="1"/>
  <c r="DP22" i="1"/>
  <c r="DQ22" i="1"/>
  <c r="DP21" i="1"/>
  <c r="DQ21" i="1"/>
  <c r="DQ20" i="1"/>
  <c r="DP20" i="1"/>
  <c r="DQ19" i="1"/>
  <c r="DP19" i="1"/>
  <c r="DP18" i="1"/>
  <c r="DQ18" i="1"/>
  <c r="DQ17" i="1"/>
  <c r="DP17" i="1"/>
  <c r="DQ16" i="1"/>
  <c r="DP16" i="1"/>
  <c r="DQ15" i="1"/>
  <c r="DP15" i="1"/>
  <c r="DP14" i="1"/>
  <c r="DQ14" i="1"/>
  <c r="DQ13" i="1"/>
  <c r="DP13" i="1"/>
  <c r="DP12" i="1"/>
  <c r="DQ12" i="1"/>
  <c r="DQ11" i="1"/>
  <c r="DP11" i="1"/>
  <c r="DQ10" i="1"/>
  <c r="DP10" i="1"/>
  <c r="DQ9" i="1"/>
  <c r="DP9" i="1"/>
  <c r="DQ8" i="1"/>
  <c r="DP8" i="1"/>
  <c r="DQ7" i="1"/>
  <c r="DP7" i="1"/>
  <c r="DQ6" i="1"/>
  <c r="DP6" i="1"/>
  <c r="DQ5" i="1"/>
  <c r="DP5" i="1"/>
  <c r="CK72" i="1"/>
  <c r="CJ72" i="1"/>
  <c r="CI72" i="1"/>
  <c r="CK56" i="1"/>
  <c r="CJ56" i="1"/>
  <c r="CI56" i="1"/>
  <c r="CF23" i="1"/>
  <c r="CE23" i="1"/>
  <c r="CD23" i="1"/>
  <c r="CA67" i="1"/>
  <c r="BZ67" i="1"/>
  <c r="BY67" i="1"/>
  <c r="BU10" i="1"/>
  <c r="BT10" i="1"/>
  <c r="BV10" i="1"/>
  <c r="BQ6" i="1"/>
  <c r="BP6" i="1"/>
  <c r="BO6" i="1"/>
  <c r="BQ5" i="1"/>
  <c r="BP5" i="1"/>
  <c r="BO5" i="1"/>
  <c r="BQ40" i="1"/>
  <c r="BP40" i="1"/>
  <c r="BO40" i="1"/>
  <c r="BQ62" i="1"/>
  <c r="BP62" i="1"/>
  <c r="BO62" i="1"/>
  <c r="CP77" i="1"/>
  <c r="CO77" i="1"/>
  <c r="CN77" i="1"/>
  <c r="CK77" i="1"/>
  <c r="CJ77" i="1"/>
  <c r="CI77" i="1"/>
  <c r="CF77" i="1"/>
  <c r="CE77" i="1"/>
  <c r="CD77" i="1"/>
  <c r="CA77" i="1"/>
  <c r="BZ77" i="1"/>
  <c r="BY77" i="1"/>
  <c r="BV77" i="1"/>
  <c r="BU77" i="1"/>
  <c r="BT77" i="1"/>
  <c r="BQ77" i="1"/>
  <c r="BP77" i="1"/>
  <c r="BO77" i="1"/>
  <c r="CP76" i="1"/>
  <c r="CO76" i="1"/>
  <c r="CN76" i="1"/>
  <c r="CK76" i="1"/>
  <c r="CJ76" i="1"/>
  <c r="CI76" i="1"/>
  <c r="CF76" i="1"/>
  <c r="CE76" i="1"/>
  <c r="CD76" i="1"/>
  <c r="CA76" i="1"/>
  <c r="BZ76" i="1"/>
  <c r="BY76" i="1"/>
  <c r="BV76" i="1"/>
  <c r="BU76" i="1"/>
  <c r="BT76" i="1"/>
  <c r="BQ76" i="1"/>
  <c r="BP76" i="1"/>
  <c r="BO76" i="1"/>
  <c r="CP75" i="1"/>
  <c r="CO75" i="1"/>
  <c r="CN75" i="1"/>
  <c r="CK75" i="1"/>
  <c r="CJ75" i="1"/>
  <c r="CI75" i="1"/>
  <c r="CF75" i="1"/>
  <c r="CE75" i="1"/>
  <c r="CD75" i="1"/>
  <c r="CA75" i="1"/>
  <c r="BZ75" i="1"/>
  <c r="BY75" i="1"/>
  <c r="BV75" i="1"/>
  <c r="BU75" i="1"/>
  <c r="BT75" i="1"/>
  <c r="BQ75" i="1"/>
  <c r="BP75" i="1"/>
  <c r="BO75" i="1"/>
  <c r="CP74" i="1"/>
  <c r="CO74" i="1"/>
  <c r="CN74" i="1"/>
  <c r="CK74" i="1"/>
  <c r="CJ74" i="1"/>
  <c r="CI74" i="1"/>
  <c r="CF74" i="1"/>
  <c r="CE74" i="1"/>
  <c r="CD74" i="1"/>
  <c r="CA74" i="1"/>
  <c r="BZ74" i="1"/>
  <c r="BY74" i="1"/>
  <c r="BV74" i="1"/>
  <c r="BU74" i="1"/>
  <c r="BT74" i="1"/>
  <c r="BQ74" i="1"/>
  <c r="BP74" i="1"/>
  <c r="BO74" i="1"/>
  <c r="CP73" i="1"/>
  <c r="CO73" i="1"/>
  <c r="CN73" i="1"/>
  <c r="CK73" i="1"/>
  <c r="CJ73" i="1"/>
  <c r="CI73" i="1"/>
  <c r="CF73" i="1"/>
  <c r="CE73" i="1"/>
  <c r="CD73" i="1"/>
  <c r="CA73" i="1"/>
  <c r="BZ73" i="1"/>
  <c r="BY73" i="1"/>
  <c r="BV73" i="1"/>
  <c r="BU73" i="1"/>
  <c r="BT73" i="1"/>
  <c r="BQ73" i="1"/>
  <c r="BP73" i="1"/>
  <c r="BO73" i="1"/>
  <c r="CP72" i="1"/>
  <c r="CO72" i="1"/>
  <c r="CN72" i="1"/>
  <c r="CF72" i="1"/>
  <c r="CE72" i="1"/>
  <c r="CD72" i="1"/>
  <c r="CA72" i="1"/>
  <c r="BY72" i="1"/>
  <c r="BZ72" i="1"/>
  <c r="BV72" i="1"/>
  <c r="BT72" i="1"/>
  <c r="BU72" i="1"/>
  <c r="BQ72" i="1"/>
  <c r="BP72" i="1"/>
  <c r="BO72" i="1"/>
  <c r="CP71" i="1"/>
  <c r="CO71" i="1"/>
  <c r="CN71" i="1"/>
  <c r="CK71" i="1"/>
  <c r="CJ71" i="1"/>
  <c r="CI71" i="1"/>
  <c r="CD71" i="1"/>
  <c r="CF71" i="1"/>
  <c r="CE71" i="1"/>
  <c r="CA71" i="1"/>
  <c r="BZ71" i="1"/>
  <c r="BY71" i="1"/>
  <c r="BV71" i="1"/>
  <c r="BU71" i="1"/>
  <c r="BT71" i="1"/>
  <c r="BQ71" i="1"/>
  <c r="BP71" i="1"/>
  <c r="BO71" i="1"/>
  <c r="CO70" i="1"/>
  <c r="CN70" i="1"/>
  <c r="CP70" i="1"/>
  <c r="CK70" i="1"/>
  <c r="CJ70" i="1"/>
  <c r="CI70" i="1"/>
  <c r="CF70" i="1"/>
  <c r="CD70" i="1"/>
  <c r="CE70" i="1"/>
  <c r="CA70" i="1"/>
  <c r="BZ70" i="1"/>
  <c r="BY70" i="1"/>
  <c r="BV70" i="1"/>
  <c r="BU70" i="1"/>
  <c r="BT70" i="1"/>
  <c r="BQ70" i="1"/>
  <c r="BO70" i="1"/>
  <c r="BP70" i="1"/>
  <c r="CP69" i="1"/>
  <c r="CN69" i="1"/>
  <c r="CO69" i="1"/>
  <c r="CK69" i="1"/>
  <c r="CI69" i="1"/>
  <c r="CJ69" i="1"/>
  <c r="CF69" i="1"/>
  <c r="CD69" i="1"/>
  <c r="CE69" i="1"/>
  <c r="CA69" i="1"/>
  <c r="BZ69" i="1"/>
  <c r="BY69" i="1"/>
  <c r="BT69" i="1"/>
  <c r="BV69" i="1"/>
  <c r="BU69" i="1"/>
  <c r="BP69" i="1"/>
  <c r="BO69" i="1"/>
  <c r="BQ69" i="1"/>
  <c r="CN68" i="1"/>
  <c r="CO68" i="1"/>
  <c r="CP68" i="1"/>
  <c r="CI68" i="1"/>
  <c r="CJ68" i="1"/>
  <c r="CK68" i="1"/>
  <c r="CE68" i="1"/>
  <c r="CF68" i="1"/>
  <c r="CD68" i="1"/>
  <c r="BZ68" i="1"/>
  <c r="CA68" i="1"/>
  <c r="BY68" i="1"/>
  <c r="BV68" i="1"/>
  <c r="BT68" i="1"/>
  <c r="BU68" i="1"/>
  <c r="BQ68" i="1"/>
  <c r="BP68" i="1"/>
  <c r="BO68" i="1"/>
  <c r="CN67" i="1"/>
  <c r="CO67" i="1"/>
  <c r="CP67" i="1"/>
  <c r="CK67" i="1"/>
  <c r="CI67" i="1"/>
  <c r="CJ67" i="1"/>
  <c r="CF67" i="1"/>
  <c r="CD67" i="1"/>
  <c r="CE67" i="1"/>
  <c r="BT67" i="1"/>
  <c r="BU67" i="1"/>
  <c r="BV67" i="1"/>
  <c r="BO67" i="1"/>
  <c r="BP67" i="1"/>
  <c r="BQ67" i="1"/>
  <c r="CP66" i="1"/>
  <c r="CO66" i="1"/>
  <c r="CN66" i="1"/>
  <c r="CJ66" i="1"/>
  <c r="CK66" i="1"/>
  <c r="CI66" i="1"/>
  <c r="CF66" i="1"/>
  <c r="CE66" i="1"/>
  <c r="CD66" i="1"/>
  <c r="CA66" i="1"/>
  <c r="BZ66" i="1"/>
  <c r="BY66" i="1"/>
  <c r="BV66" i="1"/>
  <c r="BU66" i="1"/>
  <c r="BT66" i="1"/>
  <c r="BO66" i="1"/>
  <c r="BQ66" i="1"/>
  <c r="BP66" i="1"/>
  <c r="CN65" i="1"/>
  <c r="CO65" i="1"/>
  <c r="CP65" i="1"/>
  <c r="CI65" i="1"/>
  <c r="CJ65" i="1"/>
  <c r="CK65" i="1"/>
  <c r="CD65" i="1"/>
  <c r="CE65" i="1"/>
  <c r="CF65" i="1"/>
  <c r="BY65" i="1"/>
  <c r="BZ65" i="1"/>
  <c r="CA65" i="1"/>
  <c r="BU65" i="1"/>
  <c r="BV65" i="1"/>
  <c r="BT65" i="1"/>
  <c r="BQ65" i="1"/>
  <c r="BP65" i="1"/>
  <c r="BO65" i="1"/>
  <c r="CP64" i="1"/>
  <c r="CO64" i="1"/>
  <c r="CN64" i="1"/>
  <c r="CI64" i="1"/>
  <c r="CJ64" i="1"/>
  <c r="CK64" i="1"/>
  <c r="CE64" i="1"/>
  <c r="CD64" i="1"/>
  <c r="CF64" i="1"/>
  <c r="BZ64" i="1"/>
  <c r="CA64" i="1"/>
  <c r="BY64" i="1"/>
  <c r="BV64" i="1"/>
  <c r="BU64" i="1"/>
  <c r="BT64" i="1"/>
  <c r="BQ64" i="1"/>
  <c r="BP64" i="1"/>
  <c r="BO64" i="1"/>
  <c r="CP63" i="1"/>
  <c r="CO63" i="1"/>
  <c r="CN63" i="1"/>
  <c r="CI63" i="1"/>
  <c r="CK63" i="1"/>
  <c r="CJ63" i="1"/>
  <c r="CD63" i="1"/>
  <c r="CE63" i="1"/>
  <c r="CF63" i="1"/>
  <c r="BY63" i="1"/>
  <c r="BZ63" i="1"/>
  <c r="CA63" i="1"/>
  <c r="BT63" i="1"/>
  <c r="BU63" i="1"/>
  <c r="BV63" i="1"/>
  <c r="BQ63" i="1"/>
  <c r="BO63" i="1"/>
  <c r="BP63" i="1"/>
  <c r="CN62" i="1"/>
  <c r="CO62" i="1"/>
  <c r="CP62" i="1"/>
  <c r="CK62" i="1"/>
  <c r="CJ62" i="1"/>
  <c r="CI62" i="1"/>
  <c r="CE62" i="1"/>
  <c r="CF62" i="1"/>
  <c r="CD62" i="1"/>
  <c r="BY62" i="1"/>
  <c r="BZ62" i="1"/>
  <c r="CA62" i="1"/>
  <c r="BT62" i="1"/>
  <c r="BU62" i="1"/>
  <c r="BV62" i="1"/>
  <c r="CN61" i="1"/>
  <c r="CO61" i="1"/>
  <c r="CP61" i="1"/>
  <c r="CK61" i="1"/>
  <c r="CJ61" i="1"/>
  <c r="CI61" i="1"/>
  <c r="CF61" i="1"/>
  <c r="CE61" i="1"/>
  <c r="CD61" i="1"/>
  <c r="BY61" i="1"/>
  <c r="CA61" i="1"/>
  <c r="BZ61" i="1"/>
  <c r="BT61" i="1"/>
  <c r="BU61" i="1"/>
  <c r="BV61" i="1"/>
  <c r="BO61" i="1"/>
  <c r="BP61" i="1"/>
  <c r="BQ61" i="1"/>
  <c r="CO60" i="1"/>
  <c r="CN60" i="1"/>
  <c r="CP60" i="1"/>
  <c r="CJ60" i="1"/>
  <c r="CI60" i="1"/>
  <c r="CK60" i="1"/>
  <c r="CF60" i="1"/>
  <c r="CE60" i="1"/>
  <c r="CD60" i="1"/>
  <c r="CA60" i="1"/>
  <c r="BZ60" i="1"/>
  <c r="BY60" i="1"/>
  <c r="BV60" i="1"/>
  <c r="BU60" i="1"/>
  <c r="BT60" i="1"/>
  <c r="BP60" i="1"/>
  <c r="BQ60" i="1"/>
  <c r="BO60" i="1"/>
  <c r="CP59" i="1"/>
  <c r="CO59" i="1"/>
  <c r="CN59" i="1"/>
  <c r="CJ59" i="1"/>
  <c r="CK59" i="1"/>
  <c r="CI59" i="1"/>
  <c r="CF59" i="1"/>
  <c r="CE59" i="1"/>
  <c r="CD59" i="1"/>
  <c r="CA59" i="1"/>
  <c r="BZ59" i="1"/>
  <c r="BY59" i="1"/>
  <c r="BT59" i="1"/>
  <c r="BU59" i="1"/>
  <c r="BV59" i="1"/>
  <c r="BP59" i="1"/>
  <c r="BO59" i="1"/>
  <c r="BQ59" i="1"/>
  <c r="CO58" i="1"/>
  <c r="CN58" i="1"/>
  <c r="CP58" i="1"/>
  <c r="CK58" i="1"/>
  <c r="CI58" i="1"/>
  <c r="CJ58" i="1"/>
  <c r="CD58" i="1"/>
  <c r="CE58" i="1"/>
  <c r="CF58" i="1"/>
  <c r="BY58" i="1"/>
  <c r="BZ58" i="1"/>
  <c r="CA58" i="1"/>
  <c r="BT58" i="1"/>
  <c r="BV58" i="1"/>
  <c r="BU58" i="1"/>
  <c r="BQ58" i="1"/>
  <c r="BP58" i="1"/>
  <c r="BO58" i="1"/>
  <c r="CO57" i="1"/>
  <c r="CP57" i="1"/>
  <c r="CN57" i="1"/>
  <c r="CJ57" i="1"/>
  <c r="CI57" i="1"/>
  <c r="CK57" i="1"/>
  <c r="CF57" i="1"/>
  <c r="CE57" i="1"/>
  <c r="CD57" i="1"/>
  <c r="CA57" i="1"/>
  <c r="BY57" i="1"/>
  <c r="BZ57" i="1"/>
  <c r="BT57" i="1"/>
  <c r="BU57" i="1"/>
  <c r="BV57" i="1"/>
  <c r="BQ57" i="1"/>
  <c r="BP57" i="1"/>
  <c r="BO57" i="1"/>
  <c r="CP56" i="1"/>
  <c r="CO56" i="1"/>
  <c r="CN56" i="1"/>
  <c r="CF56" i="1"/>
  <c r="CE56" i="1"/>
  <c r="CD56" i="1"/>
  <c r="CA56" i="1"/>
  <c r="BZ56" i="1"/>
  <c r="BY56" i="1"/>
  <c r="BT56" i="1"/>
  <c r="BU56" i="1"/>
  <c r="BV56" i="1"/>
  <c r="BO56" i="1"/>
  <c r="BP56" i="1"/>
  <c r="BQ56" i="1"/>
  <c r="CO55" i="1"/>
  <c r="CP55" i="1"/>
  <c r="CN55" i="1"/>
  <c r="CJ55" i="1"/>
  <c r="CI55" i="1"/>
  <c r="CK55" i="1"/>
  <c r="CD55" i="1"/>
  <c r="CF55" i="1"/>
  <c r="CE55" i="1"/>
  <c r="BY55" i="1"/>
  <c r="BZ55" i="1"/>
  <c r="CA55" i="1"/>
  <c r="BT55" i="1"/>
  <c r="BV55" i="1"/>
  <c r="BU55" i="1"/>
  <c r="BQ55" i="1"/>
  <c r="BP55" i="1"/>
  <c r="BO55" i="1"/>
  <c r="CO54" i="1"/>
  <c r="CN54" i="1"/>
  <c r="CP54" i="1"/>
  <c r="CJ54" i="1"/>
  <c r="CK54" i="1"/>
  <c r="CI54" i="1"/>
  <c r="CF54" i="1"/>
  <c r="CE54" i="1"/>
  <c r="CD54" i="1"/>
  <c r="CA54" i="1"/>
  <c r="BZ54" i="1"/>
  <c r="BY54" i="1"/>
  <c r="BU54" i="1"/>
  <c r="BT54" i="1"/>
  <c r="BV54" i="1"/>
  <c r="BO54" i="1"/>
  <c r="BP54" i="1"/>
  <c r="BQ54" i="1"/>
  <c r="CP53" i="1"/>
  <c r="CN53" i="1"/>
  <c r="CO53" i="1"/>
  <c r="CK53" i="1"/>
  <c r="CJ53" i="1"/>
  <c r="CI53" i="1"/>
  <c r="CD53" i="1"/>
  <c r="CE53" i="1"/>
  <c r="CF53" i="1"/>
  <c r="CA53" i="1"/>
  <c r="BZ53" i="1"/>
  <c r="BY53" i="1"/>
  <c r="BU53" i="1"/>
  <c r="BT53" i="1"/>
  <c r="BV53" i="1"/>
  <c r="BQ53" i="1"/>
  <c r="BO53" i="1"/>
  <c r="BP53" i="1"/>
  <c r="CN52" i="1"/>
  <c r="CP52" i="1"/>
  <c r="CO52" i="1"/>
  <c r="CJ52" i="1"/>
  <c r="CI52" i="1"/>
  <c r="CK52" i="1"/>
  <c r="CD52" i="1"/>
  <c r="CE52" i="1"/>
  <c r="CF52" i="1"/>
  <c r="CA52" i="1"/>
  <c r="BY52" i="1"/>
  <c r="BZ52" i="1"/>
  <c r="BV52" i="1"/>
  <c r="BU52" i="1"/>
  <c r="BT52" i="1"/>
  <c r="BQ52" i="1"/>
  <c r="BP52" i="1"/>
  <c r="BO52" i="1"/>
  <c r="CO51" i="1"/>
  <c r="CN51" i="1"/>
  <c r="CP51" i="1"/>
  <c r="CK51" i="1"/>
  <c r="CJ51" i="1"/>
  <c r="CI51" i="1"/>
  <c r="CF51" i="1"/>
  <c r="CE51" i="1"/>
  <c r="CD51" i="1"/>
  <c r="BZ51" i="1"/>
  <c r="BY51" i="1"/>
  <c r="BT51" i="1"/>
  <c r="BU51" i="1"/>
  <c r="BV51" i="1"/>
  <c r="BO51" i="1"/>
  <c r="BP51" i="1"/>
  <c r="BQ51" i="1"/>
  <c r="CN50" i="1"/>
  <c r="CO50" i="1"/>
  <c r="CP50" i="1"/>
  <c r="CI50" i="1"/>
  <c r="CJ50" i="1"/>
  <c r="CK50" i="1"/>
  <c r="CF50" i="1"/>
  <c r="CE50" i="1"/>
  <c r="CD50" i="1"/>
  <c r="BZ50" i="1"/>
  <c r="BY50" i="1"/>
  <c r="CA50" i="1"/>
  <c r="BU50" i="1"/>
  <c r="BV50" i="1"/>
  <c r="BT50" i="1"/>
  <c r="BQ50" i="1"/>
  <c r="BO50" i="1"/>
  <c r="BP50" i="1"/>
  <c r="CN49" i="1"/>
  <c r="CO49" i="1"/>
  <c r="CP49" i="1"/>
  <c r="CK49" i="1"/>
  <c r="CI49" i="1"/>
  <c r="CJ49" i="1"/>
  <c r="CF49" i="1"/>
  <c r="CD49" i="1"/>
  <c r="CE49" i="1"/>
  <c r="BY49" i="1"/>
  <c r="CA49" i="1"/>
  <c r="BZ49" i="1"/>
  <c r="BV49" i="1"/>
  <c r="BT49" i="1"/>
  <c r="BU49" i="1"/>
  <c r="BO49" i="1"/>
  <c r="BQ49" i="1"/>
  <c r="BP49" i="1"/>
  <c r="CN48" i="1"/>
  <c r="CO48" i="1"/>
  <c r="CP48" i="1"/>
  <c r="CI48" i="1"/>
  <c r="CK48" i="1"/>
  <c r="CJ48" i="1"/>
  <c r="CE48" i="1"/>
  <c r="CD48" i="1"/>
  <c r="CF48" i="1"/>
  <c r="BZ48" i="1"/>
  <c r="BY48" i="1"/>
  <c r="CA48" i="1"/>
  <c r="BV48" i="1"/>
  <c r="BU48" i="1"/>
  <c r="BT48" i="1"/>
  <c r="BO48" i="1"/>
  <c r="BQ48" i="1"/>
  <c r="BP48" i="1"/>
  <c r="CO47" i="1"/>
  <c r="CN47" i="1"/>
  <c r="CP47" i="1"/>
  <c r="CK47" i="1"/>
  <c r="CJ47" i="1"/>
  <c r="CI47" i="1"/>
  <c r="CF47" i="1"/>
  <c r="CE47" i="1"/>
  <c r="CD47" i="1"/>
  <c r="CA47" i="1"/>
  <c r="BZ47" i="1"/>
  <c r="BY47" i="1"/>
  <c r="BV47" i="1"/>
  <c r="BU47" i="1"/>
  <c r="BT47" i="1"/>
  <c r="BO47" i="1"/>
  <c r="BP47" i="1"/>
  <c r="BQ47" i="1"/>
  <c r="CP46" i="1"/>
  <c r="CO46" i="1"/>
  <c r="CN46" i="1"/>
  <c r="CI46" i="1"/>
  <c r="CJ46" i="1"/>
  <c r="CK46" i="1"/>
  <c r="CE46" i="1"/>
  <c r="CD46" i="1"/>
  <c r="CF46" i="1"/>
  <c r="BY46" i="1"/>
  <c r="BZ46" i="1"/>
  <c r="CA46" i="1"/>
  <c r="BU46" i="1"/>
  <c r="BT46" i="1"/>
  <c r="BV46" i="1"/>
  <c r="BP46" i="1"/>
  <c r="BQ46" i="1"/>
  <c r="CN45" i="1"/>
  <c r="CP45" i="1"/>
  <c r="CO45" i="1"/>
  <c r="CI45" i="1"/>
  <c r="CK45" i="1"/>
  <c r="CF45" i="1"/>
  <c r="CE45" i="1"/>
  <c r="CD45" i="1"/>
  <c r="BY45" i="1"/>
  <c r="BZ45" i="1"/>
  <c r="CA45" i="1"/>
  <c r="BT45" i="1"/>
  <c r="BU45" i="1"/>
  <c r="BV45" i="1"/>
  <c r="BO45" i="1"/>
  <c r="BP45" i="1"/>
  <c r="BQ45" i="1"/>
  <c r="CP44" i="1"/>
  <c r="CO44" i="1"/>
  <c r="CN44" i="1"/>
  <c r="CJ44" i="1"/>
  <c r="CI44" i="1"/>
  <c r="CK44" i="1"/>
  <c r="CD44" i="1"/>
  <c r="CE44" i="1"/>
  <c r="CF44" i="1"/>
  <c r="BZ44" i="1"/>
  <c r="CA44" i="1"/>
  <c r="BY44" i="1"/>
  <c r="BU44" i="1"/>
  <c r="BT44" i="1"/>
  <c r="BV44" i="1"/>
  <c r="BP44" i="1"/>
  <c r="BO44" i="1"/>
  <c r="BQ44" i="1"/>
  <c r="CP43" i="1"/>
  <c r="CO43" i="1"/>
  <c r="CN43" i="1"/>
  <c r="CI43" i="1"/>
  <c r="CJ43" i="1"/>
  <c r="CK43" i="1"/>
  <c r="CF43" i="1"/>
  <c r="CE43" i="1"/>
  <c r="CD43" i="1"/>
  <c r="BY43" i="1"/>
  <c r="CA43" i="1"/>
  <c r="BZ43" i="1"/>
  <c r="BT43" i="1"/>
  <c r="BV43" i="1"/>
  <c r="BU43" i="1"/>
  <c r="BP43" i="1"/>
  <c r="BQ43" i="1"/>
  <c r="BO43" i="1"/>
  <c r="CP42" i="1"/>
  <c r="CN42" i="1"/>
  <c r="CO42" i="1"/>
  <c r="CK42" i="1"/>
  <c r="CJ42" i="1"/>
  <c r="CI42" i="1"/>
  <c r="CF42" i="1"/>
  <c r="CE42" i="1"/>
  <c r="CD42" i="1"/>
  <c r="CA42" i="1"/>
  <c r="BZ42" i="1"/>
  <c r="BY42" i="1"/>
  <c r="BV42" i="1"/>
  <c r="BT42" i="1"/>
  <c r="BU42" i="1"/>
  <c r="BQ42" i="1"/>
  <c r="BP42" i="1"/>
  <c r="BO42" i="1"/>
  <c r="CP40" i="1"/>
  <c r="CO40" i="1"/>
  <c r="CN40" i="1"/>
  <c r="CK40" i="1"/>
  <c r="CJ40" i="1"/>
  <c r="CI40" i="1"/>
  <c r="CF40" i="1"/>
  <c r="CE40" i="1"/>
  <c r="CD40" i="1"/>
  <c r="CA40" i="1"/>
  <c r="BZ40" i="1"/>
  <c r="BY40" i="1"/>
  <c r="CP39" i="1"/>
  <c r="CO39" i="1"/>
  <c r="CN39" i="1"/>
  <c r="CK39" i="1"/>
  <c r="CJ39" i="1"/>
  <c r="CI39" i="1"/>
  <c r="CF39" i="1"/>
  <c r="CE39" i="1"/>
  <c r="CD39" i="1"/>
  <c r="CA39" i="1"/>
  <c r="BZ39" i="1"/>
  <c r="BY39" i="1"/>
  <c r="CP38" i="1"/>
  <c r="CO38" i="1"/>
  <c r="CN38" i="1"/>
  <c r="CK38" i="1"/>
  <c r="CJ38" i="1"/>
  <c r="CI38" i="1"/>
  <c r="CF38" i="1"/>
  <c r="CE38" i="1"/>
  <c r="CD38" i="1"/>
  <c r="CA38" i="1"/>
  <c r="BZ38" i="1"/>
  <c r="BY38" i="1"/>
  <c r="CP37" i="1"/>
  <c r="CO37" i="1"/>
  <c r="CN37" i="1"/>
  <c r="CK37" i="1"/>
  <c r="CJ37" i="1"/>
  <c r="CI37" i="1"/>
  <c r="CF37" i="1"/>
  <c r="CE37" i="1"/>
  <c r="CD37" i="1"/>
  <c r="CA37" i="1"/>
  <c r="BZ37" i="1"/>
  <c r="BY37" i="1"/>
  <c r="CP36" i="1"/>
  <c r="CO36" i="1"/>
  <c r="CN36" i="1"/>
  <c r="CK36" i="1"/>
  <c r="CJ36" i="1"/>
  <c r="CI36" i="1"/>
  <c r="CF36" i="1"/>
  <c r="CE36" i="1"/>
  <c r="CD36" i="1"/>
  <c r="CA36" i="1"/>
  <c r="BZ36" i="1"/>
  <c r="BY36" i="1"/>
  <c r="CP35" i="1"/>
  <c r="CO35" i="1"/>
  <c r="CN35" i="1"/>
  <c r="CK35" i="1"/>
  <c r="CJ35" i="1"/>
  <c r="CI35" i="1"/>
  <c r="CF35" i="1"/>
  <c r="CE35" i="1"/>
  <c r="CD35" i="1"/>
  <c r="CA35" i="1"/>
  <c r="BZ35" i="1"/>
  <c r="BY35" i="1"/>
  <c r="CO34" i="1"/>
  <c r="CN34" i="1"/>
  <c r="CK34" i="1"/>
  <c r="CJ34" i="1"/>
  <c r="CI34" i="1"/>
  <c r="CF34" i="1"/>
  <c r="CE34" i="1"/>
  <c r="CD34" i="1"/>
  <c r="BZ34" i="1"/>
  <c r="BY34" i="1"/>
  <c r="CA34" i="1"/>
  <c r="CO33" i="1"/>
  <c r="CN33" i="1"/>
  <c r="CP33" i="1"/>
  <c r="CJ33" i="1"/>
  <c r="CI33" i="1"/>
  <c r="CK33" i="1"/>
  <c r="CD33" i="1"/>
  <c r="CF33" i="1"/>
  <c r="CE33" i="1"/>
  <c r="CA33" i="1"/>
  <c r="BZ33" i="1"/>
  <c r="BY33" i="1"/>
  <c r="CN32" i="1"/>
  <c r="CO32" i="1"/>
  <c r="CP32" i="1"/>
  <c r="CK32" i="1"/>
  <c r="CJ32" i="1"/>
  <c r="CI32" i="1"/>
  <c r="CF32" i="1"/>
  <c r="CD32" i="1"/>
  <c r="CE32" i="1"/>
  <c r="CA32" i="1"/>
  <c r="BZ32" i="1"/>
  <c r="BY32" i="1"/>
  <c r="CO31" i="1"/>
  <c r="CP31" i="1"/>
  <c r="CN31" i="1"/>
  <c r="CJ31" i="1"/>
  <c r="CI31" i="1"/>
  <c r="CK31" i="1"/>
  <c r="CE31" i="1"/>
  <c r="CF31" i="1"/>
  <c r="BY31" i="1"/>
  <c r="BZ31" i="1"/>
  <c r="CA31" i="1"/>
  <c r="CN30" i="1"/>
  <c r="CP30" i="1"/>
  <c r="CO30" i="1"/>
  <c r="CK30" i="1"/>
  <c r="CI30" i="1"/>
  <c r="CD30" i="1"/>
  <c r="CE30" i="1"/>
  <c r="CF30" i="1"/>
  <c r="BZ30" i="1"/>
  <c r="CA30" i="1"/>
  <c r="BY30" i="1"/>
  <c r="CN29" i="1"/>
  <c r="CP29" i="1"/>
  <c r="CO29" i="1"/>
  <c r="CI29" i="1"/>
  <c r="CJ29" i="1"/>
  <c r="CK29" i="1"/>
  <c r="CD29" i="1"/>
  <c r="CF29" i="1"/>
  <c r="CE29" i="1"/>
  <c r="BZ29" i="1"/>
  <c r="BY29" i="1"/>
  <c r="CA29" i="1"/>
  <c r="CN28" i="1"/>
  <c r="CP28" i="1"/>
  <c r="CO28" i="1"/>
  <c r="CI28" i="1"/>
  <c r="CK28" i="1"/>
  <c r="CJ28" i="1"/>
  <c r="CF28" i="1"/>
  <c r="CD28" i="1"/>
  <c r="CE28" i="1"/>
  <c r="BY28" i="1"/>
  <c r="BZ28" i="1"/>
  <c r="CA28" i="1"/>
  <c r="CN27" i="1"/>
  <c r="CO27" i="1"/>
  <c r="CP27" i="1"/>
  <c r="CI27" i="1"/>
  <c r="CJ27" i="1"/>
  <c r="CK27" i="1"/>
  <c r="CF27" i="1"/>
  <c r="CE27" i="1"/>
  <c r="CD27" i="1"/>
  <c r="CA27" i="1"/>
  <c r="BZ27" i="1"/>
  <c r="BY27" i="1"/>
  <c r="CN26" i="1"/>
  <c r="CP26" i="1"/>
  <c r="CO26" i="1"/>
  <c r="CK26" i="1"/>
  <c r="CI26" i="1"/>
  <c r="CJ26" i="1"/>
  <c r="CE26" i="1"/>
  <c r="CD26" i="1"/>
  <c r="CF26" i="1"/>
  <c r="BY26" i="1"/>
  <c r="BZ26" i="1"/>
  <c r="CA26" i="1"/>
  <c r="CN25" i="1"/>
  <c r="CO25" i="1"/>
  <c r="CP25" i="1"/>
  <c r="CJ25" i="1"/>
  <c r="CK25" i="1"/>
  <c r="CI25" i="1"/>
  <c r="CD25" i="1"/>
  <c r="CE25" i="1"/>
  <c r="CF25" i="1"/>
  <c r="BZ25" i="1"/>
  <c r="CA25" i="1"/>
  <c r="BY25" i="1"/>
  <c r="CP24" i="1"/>
  <c r="CN24" i="1"/>
  <c r="CO24" i="1"/>
  <c r="CK24" i="1"/>
  <c r="CJ24" i="1"/>
  <c r="CI24" i="1"/>
  <c r="CF24" i="1"/>
  <c r="CE24" i="1"/>
  <c r="CD24" i="1"/>
  <c r="CA24" i="1"/>
  <c r="BY24" i="1"/>
  <c r="BZ24" i="1"/>
  <c r="CP23" i="1"/>
  <c r="CO23" i="1"/>
  <c r="CN23" i="1"/>
  <c r="CI23" i="1"/>
  <c r="CK23" i="1"/>
  <c r="CJ23" i="1"/>
  <c r="CA23" i="1"/>
  <c r="BZ23" i="1"/>
  <c r="BY23" i="1"/>
  <c r="CP22" i="1"/>
  <c r="CO22" i="1"/>
  <c r="CN22" i="1"/>
  <c r="CK22" i="1"/>
  <c r="CJ22" i="1"/>
  <c r="CI22" i="1"/>
  <c r="CE22" i="1"/>
  <c r="CD22" i="1"/>
  <c r="CF22" i="1"/>
  <c r="BZ22" i="1"/>
  <c r="CA22" i="1"/>
  <c r="BY22" i="1"/>
  <c r="CP21" i="1"/>
  <c r="CO21" i="1"/>
  <c r="CN21" i="1"/>
  <c r="CK21" i="1"/>
  <c r="CJ21" i="1"/>
  <c r="CI21" i="1"/>
  <c r="CF21" i="1"/>
  <c r="CE21" i="1"/>
  <c r="CD21" i="1"/>
  <c r="CA21" i="1"/>
  <c r="BZ21" i="1"/>
  <c r="BY21" i="1"/>
  <c r="CP20" i="1"/>
  <c r="CO20" i="1"/>
  <c r="CN20" i="1"/>
  <c r="CI20" i="1"/>
  <c r="CJ20" i="1"/>
  <c r="CK20" i="1"/>
  <c r="CF20" i="1"/>
  <c r="CD20" i="1"/>
  <c r="CE20" i="1"/>
  <c r="BY20" i="1"/>
  <c r="BZ20" i="1"/>
  <c r="CA20" i="1"/>
  <c r="CN19" i="1"/>
  <c r="CO19" i="1"/>
  <c r="CP19" i="1"/>
  <c r="CI19" i="1"/>
  <c r="CJ19" i="1"/>
  <c r="CK19" i="1"/>
  <c r="CD19" i="1"/>
  <c r="CF19" i="1"/>
  <c r="CE19" i="1"/>
  <c r="CA19" i="1"/>
  <c r="BY19" i="1"/>
  <c r="BZ19" i="1"/>
  <c r="CN18" i="1"/>
  <c r="CO18" i="1"/>
  <c r="CP18" i="1"/>
  <c r="CI18" i="1"/>
  <c r="CJ18" i="1"/>
  <c r="CK18" i="1"/>
  <c r="CE18" i="1"/>
  <c r="CF18" i="1"/>
  <c r="CD18" i="1"/>
  <c r="BY18" i="1"/>
  <c r="BZ18" i="1"/>
  <c r="CA18" i="1"/>
  <c r="CN17" i="1"/>
  <c r="CO17" i="1"/>
  <c r="CP17" i="1"/>
  <c r="CI17" i="1"/>
  <c r="CJ17" i="1"/>
  <c r="CK17" i="1"/>
  <c r="CD17" i="1"/>
  <c r="CE17" i="1"/>
  <c r="BY17" i="1"/>
  <c r="BZ17" i="1"/>
  <c r="CA17" i="1"/>
  <c r="CN16" i="1"/>
  <c r="CP16" i="1"/>
  <c r="CO16" i="1"/>
  <c r="CK16" i="1"/>
  <c r="CJ16" i="1"/>
  <c r="CI16" i="1"/>
  <c r="CF16" i="1"/>
  <c r="CE16" i="1"/>
  <c r="CD16" i="1"/>
  <c r="CA16" i="1"/>
  <c r="BZ16" i="1"/>
  <c r="BY16" i="1"/>
  <c r="CP15" i="1"/>
  <c r="CO15" i="1"/>
  <c r="CN15" i="1"/>
  <c r="CK15" i="1"/>
  <c r="CJ15" i="1"/>
  <c r="CI15" i="1"/>
  <c r="CF15" i="1"/>
  <c r="CE15" i="1"/>
  <c r="CD15" i="1"/>
  <c r="CA15" i="1"/>
  <c r="BZ15" i="1"/>
  <c r="BY15" i="1"/>
  <c r="CP14" i="1"/>
  <c r="CO14" i="1"/>
  <c r="CN14" i="1"/>
  <c r="CK14" i="1"/>
  <c r="CJ14" i="1"/>
  <c r="CI14" i="1"/>
  <c r="CF14" i="1"/>
  <c r="CE14" i="1"/>
  <c r="CD14" i="1"/>
  <c r="BY14" i="1"/>
  <c r="CA14" i="1"/>
  <c r="BZ14" i="1"/>
  <c r="CP13" i="1"/>
  <c r="CN13" i="1"/>
  <c r="CO13" i="1"/>
  <c r="CK13" i="1"/>
  <c r="CJ13" i="1"/>
  <c r="CI13" i="1"/>
  <c r="CF13" i="1"/>
  <c r="CD13" i="1"/>
  <c r="CE13" i="1"/>
  <c r="BY13" i="1"/>
  <c r="BZ13" i="1"/>
  <c r="CA13" i="1"/>
  <c r="CN12" i="1"/>
  <c r="CO12" i="1"/>
  <c r="CP12" i="1"/>
  <c r="CI12" i="1"/>
  <c r="CJ12" i="1"/>
  <c r="CK12" i="1"/>
  <c r="CE12" i="1"/>
  <c r="CF12" i="1"/>
  <c r="CD12" i="1"/>
  <c r="BZ12" i="1"/>
  <c r="BY12" i="1"/>
  <c r="CA12" i="1"/>
  <c r="CP11" i="1"/>
  <c r="CO11" i="1"/>
  <c r="CN11" i="1"/>
  <c r="CK11" i="1"/>
  <c r="CI11" i="1"/>
  <c r="CJ11" i="1"/>
  <c r="CD11" i="1"/>
  <c r="CE11" i="1"/>
  <c r="CF11" i="1"/>
  <c r="BY11" i="1"/>
  <c r="BZ11" i="1"/>
  <c r="CA11" i="1"/>
  <c r="CN10" i="1"/>
  <c r="CO10" i="1"/>
  <c r="CP10" i="1"/>
  <c r="CJ10" i="1"/>
  <c r="CK10" i="1"/>
  <c r="CI10" i="1"/>
  <c r="CE10" i="1"/>
  <c r="CF10" i="1"/>
  <c r="CD10" i="1"/>
  <c r="BY10" i="1"/>
  <c r="BZ10" i="1"/>
  <c r="CA10" i="1"/>
  <c r="CP9" i="1"/>
  <c r="CO9" i="1"/>
  <c r="CN9" i="1"/>
  <c r="CJ9" i="1"/>
  <c r="CI9" i="1"/>
  <c r="CK9" i="1"/>
  <c r="CF9" i="1"/>
  <c r="CD9" i="1"/>
  <c r="CE9" i="1"/>
  <c r="BY9" i="1"/>
  <c r="BZ9" i="1"/>
  <c r="CA9" i="1"/>
  <c r="CN8" i="1"/>
  <c r="CO8" i="1"/>
  <c r="CP8" i="1"/>
  <c r="CI8" i="1"/>
  <c r="CJ8" i="1"/>
  <c r="CK8" i="1"/>
  <c r="CD8" i="1"/>
  <c r="CE8" i="1"/>
  <c r="CF8" i="1"/>
  <c r="BY8" i="1"/>
  <c r="BZ8" i="1"/>
  <c r="CA8" i="1"/>
  <c r="CN7" i="1"/>
  <c r="CO7" i="1"/>
  <c r="CP7" i="1"/>
  <c r="CJ7" i="1"/>
  <c r="CK7" i="1"/>
  <c r="CI7" i="1"/>
  <c r="CD7" i="1"/>
  <c r="CF7" i="1"/>
  <c r="CE7" i="1"/>
  <c r="CA7" i="1"/>
  <c r="BY7" i="1"/>
  <c r="BZ7" i="1"/>
  <c r="CO6" i="1"/>
  <c r="CN6" i="1"/>
  <c r="CP6" i="1"/>
  <c r="CI6" i="1"/>
  <c r="CJ6" i="1"/>
  <c r="CK6" i="1"/>
  <c r="CE6" i="1"/>
  <c r="CF6" i="1"/>
  <c r="CD6" i="1"/>
  <c r="BY6" i="1"/>
  <c r="BZ6" i="1"/>
  <c r="CA6" i="1"/>
  <c r="CN5" i="1"/>
  <c r="CO5" i="1"/>
  <c r="CP5" i="1"/>
  <c r="CI5" i="1"/>
  <c r="CJ5" i="1"/>
  <c r="CK5" i="1"/>
  <c r="CD5" i="1"/>
  <c r="CE5" i="1"/>
  <c r="CF5" i="1"/>
  <c r="BY5" i="1"/>
  <c r="CA5" i="1"/>
  <c r="BZ5" i="1"/>
  <c r="BV40" i="1"/>
  <c r="BU40" i="1"/>
  <c r="BT40" i="1"/>
  <c r="BU39" i="1"/>
  <c r="BV39" i="1"/>
  <c r="BT39" i="1"/>
  <c r="BV38" i="1"/>
  <c r="BU38" i="1"/>
  <c r="BT38" i="1"/>
  <c r="BV37" i="1"/>
  <c r="BU37" i="1"/>
  <c r="BT37" i="1"/>
  <c r="BV36" i="1"/>
  <c r="BU36" i="1"/>
  <c r="BT36" i="1"/>
  <c r="BT35" i="1"/>
  <c r="BU35" i="1"/>
  <c r="BV35" i="1"/>
  <c r="BV34" i="1"/>
  <c r="BU34" i="1"/>
  <c r="BT34" i="1"/>
  <c r="BT33" i="1"/>
  <c r="BU33" i="1"/>
  <c r="BV33" i="1"/>
  <c r="BT32" i="1"/>
  <c r="BU32" i="1"/>
  <c r="BV32" i="1"/>
  <c r="BV31" i="1"/>
  <c r="BU31" i="1"/>
  <c r="BT31" i="1"/>
  <c r="BU30" i="1"/>
  <c r="BT30" i="1"/>
  <c r="BV30" i="1"/>
  <c r="BT29" i="1"/>
  <c r="BV29" i="1"/>
  <c r="BU29" i="1"/>
  <c r="BV28" i="1"/>
  <c r="BT28" i="1"/>
  <c r="BU28" i="1"/>
  <c r="BV27" i="1"/>
  <c r="BT27" i="1"/>
  <c r="BU27" i="1"/>
  <c r="BV26" i="1"/>
  <c r="BU26" i="1"/>
  <c r="BT26" i="1"/>
  <c r="BU25" i="1"/>
  <c r="BT25" i="1"/>
  <c r="BV24" i="1"/>
  <c r="BU24" i="1"/>
  <c r="BT24" i="1"/>
  <c r="BU23" i="1"/>
  <c r="BV23" i="1"/>
  <c r="BT23" i="1"/>
  <c r="BU22" i="1"/>
  <c r="BT22" i="1"/>
  <c r="BV22" i="1"/>
  <c r="BV21" i="1"/>
  <c r="BU21" i="1"/>
  <c r="BT21" i="1"/>
  <c r="BT20" i="1"/>
  <c r="BU20" i="1"/>
  <c r="BV20" i="1"/>
  <c r="BT19" i="1"/>
  <c r="BU19" i="1"/>
  <c r="BV19" i="1"/>
  <c r="BT18" i="1"/>
  <c r="BU18" i="1"/>
  <c r="BV18" i="1"/>
  <c r="BT17" i="1"/>
  <c r="BV17" i="1"/>
  <c r="BU17" i="1"/>
  <c r="BU16" i="1"/>
  <c r="BV16" i="1"/>
  <c r="BT16" i="1"/>
  <c r="BT15" i="1"/>
  <c r="BV15" i="1"/>
  <c r="BU15" i="1"/>
  <c r="BV14" i="1"/>
  <c r="BT14" i="1"/>
  <c r="BU14" i="1"/>
  <c r="BU13" i="1"/>
  <c r="BT13" i="1"/>
  <c r="BV13" i="1"/>
  <c r="BT12" i="1"/>
  <c r="BV12" i="1"/>
  <c r="BU12" i="1"/>
  <c r="BU11" i="1"/>
  <c r="BV11" i="1"/>
  <c r="BT11" i="1"/>
  <c r="BV9" i="1"/>
  <c r="BU9" i="1"/>
  <c r="BT9" i="1"/>
  <c r="BV8" i="1"/>
  <c r="BU8" i="1"/>
  <c r="BT8" i="1"/>
  <c r="BV7" i="1"/>
  <c r="BU7" i="1"/>
  <c r="BT7" i="1"/>
  <c r="BV6" i="1"/>
  <c r="BU6" i="1"/>
  <c r="BT6" i="1"/>
  <c r="BV5" i="1"/>
  <c r="BU5" i="1"/>
  <c r="BT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Dropdown: parent | child</t>
        </r>
      </text>
    </comment>
    <comment ref="B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Eindeutige Artikel-Nr. (Pflicht)</t>
        </r>
      </text>
    </comment>
    <comment ref="C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Nur child: SKU der Parent-Zeile</t>
        </r>
      </text>
    </comment>
    <comment ref="D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Dropdown: draft | published</t>
        </r>
      </text>
    </comment>
    <comment ref="E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EAN / GTIN</t>
        </r>
      </text>
    </comment>
    <comment ref="F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Lagerbestand (Zahl)</t>
        </r>
      </text>
    </comment>
    <comment ref="G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Dropdown: Markenname wie in der Liste</t>
        </r>
      </text>
    </comment>
    <comment ref="H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Produkttyp / Bezeichnung (frei)</t>
        </r>
      </text>
    </comment>
    <comment ref="I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Dropdown: exakter Slug aus Anleitung</t>
        </r>
      </text>
    </comment>
    <comment ref="J2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Dropdown: Versandgruppe (Name)</t>
        </r>
      </text>
    </comment>
    <comment ref="K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Gewicht in Gramm</t>
        </r>
      </text>
    </comment>
    <comment ref="L2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Länge cm</t>
        </r>
      </text>
    </comment>
    <comment ref="M2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Breite cm</t>
        </r>
      </text>
    </comment>
    <comment ref="N2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Höhe cm</t>
        </r>
      </text>
    </comment>
    <comment ref="O2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Bild-URL 1 (Parent/Hauptbild)</t>
        </r>
      </text>
    </comment>
    <comment ref="P2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Bild-URL 2</t>
        </r>
      </text>
    </comment>
    <comment ref="Q2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Bild-URL 3</t>
        </r>
      </text>
    </comment>
    <comment ref="R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Bild-URL 4</t>
        </r>
      </text>
    </comment>
    <comment ref="S2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Bild-URL 5</t>
        </r>
      </text>
    </comment>
    <comment ref="T2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Farbmuster-URL (oft Variante 1)</t>
        </r>
      </text>
    </comment>
    <comment ref="U2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Parent: z.B. Farbe</t>
        </r>
      </text>
    </comment>
    <comment ref="V2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Child: z.B. Rot</t>
        </r>
      </text>
    </comment>
    <comment ref="W2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Parent: z.B. Größe</t>
        </r>
      </text>
    </comment>
    <comment ref="X2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Child: z.B. M</t>
        </r>
      </text>
    </comment>
    <comment ref="Y2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Parent: weitere Option (optional)</t>
        </r>
      </text>
    </comment>
    <comment ref="Z2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Child: Wert für Option 3</t>
        </r>
      </text>
    </comment>
    <comment ref="AA2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Parent: weitere Option (optional)</t>
        </r>
      </text>
    </comment>
    <comment ref="AB2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Child: Wert für Option 4</t>
        </r>
      </text>
    </comment>
    <comment ref="AC2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Parent: weitere Option (optional)</t>
        </r>
      </text>
    </comment>
    <comment ref="AD2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Child: Wert für Option 5</t>
        </r>
      </text>
    </comment>
    <comment ref="AE2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Parent: weitere Option (optional)</t>
        </r>
      </text>
    </comment>
    <comment ref="AF2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Child: Wert für Option 6</t>
        </r>
      </text>
    </comment>
    <comment ref="AG2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Dropdown: kg | g | L | ml | stück</t>
        </r>
      </text>
    </comment>
    <comment ref="AH2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z.B. 200</t>
        </r>
      </text>
    </comment>
    <comment ref="AI2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Metafeld 1 — technischer Schlüssel</t>
        </r>
      </text>
    </comment>
    <comment ref="AJ2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Metafield 1 — Wert (Text)</t>
        </r>
      </text>
    </comment>
    <comment ref="AK2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Metafeld 2 — technischer Schlüssel</t>
        </r>
      </text>
    </comment>
    <comment ref="AL2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Metafield 2 — Wert (Text)</t>
        </r>
      </text>
    </comment>
    <comment ref="AM2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Metafeld 3 — technischer Schlüssel</t>
        </r>
      </text>
    </comment>
    <comment ref="AN2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Metafield 3 — Wert (Text)</t>
        </r>
      </text>
    </comment>
    <comment ref="AO2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Metafeld 4 — technischer Schlüssel</t>
        </r>
      </text>
    </comment>
    <comment ref="AP2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Metafield 4 — Wert (Text)</t>
        </r>
      </text>
    </comment>
    <comment ref="AQ2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Metafeld 5 — technischer Schlüssel</t>
        </r>
      </text>
    </comment>
    <comment ref="AR2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Metafield 5 — Wert (Text)</t>
        </r>
      </text>
    </comment>
    <comment ref="AS2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Metafeld 6 — technischer Schlüssel</t>
        </r>
      </text>
    </comment>
    <comment ref="AT2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Metafield 6 — Wert (Text)</t>
        </r>
      </text>
    </comment>
    <comment ref="AU2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Metafeld 7 — technischer Schlüssel</t>
        </r>
      </text>
    </comment>
    <comment ref="AV2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Metafield 7 — Wert (Text)</t>
        </r>
      </text>
    </comment>
    <comment ref="AW2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Metafeld 8 — technischer Schlüssel</t>
        </r>
      </text>
    </comment>
    <comment ref="AX2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Metafield 8 — Wert (Text)</t>
        </r>
      </text>
    </comment>
    <comment ref="AY2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Metafeld 9 — technischer Schlüssel</t>
        </r>
      </text>
    </comment>
    <comment ref="AZ2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Metafield 9 — Wert (Text)</t>
        </r>
      </text>
    </comment>
    <comment ref="BA2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Metafeld 10 — technischer Schlüssel</t>
        </r>
      </text>
    </comment>
    <comment ref="BB2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Metafield 10 — Wert (Text)</t>
        </r>
      </text>
    </comment>
    <comment ref="BC2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Metafeld 11 — technischer Schlüssel</t>
        </r>
      </text>
    </comment>
    <comment ref="BD2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Metafield 11 — Wert (Text)</t>
        </r>
      </text>
    </comment>
    <comment ref="BE2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Metafeld 12 — technischer Schlüssel</t>
        </r>
      </text>
    </comment>
    <comment ref="BF2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Metafield 12 — Wert (Text)</t>
        </r>
      </text>
    </comment>
    <comment ref="BG2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Metafeld 13 — technischer Schlüssel</t>
        </r>
      </text>
    </comment>
    <comment ref="BH2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Metafield 13 — Wert (Text)</t>
        </r>
      </text>
    </comment>
    <comment ref="BI2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Metafeld 14 — technischer Schlüssel</t>
        </r>
      </text>
    </comment>
    <comment ref="BJ2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Metafield 14 — Wert (Text)</t>
        </r>
      </text>
    </comment>
    <comment ref="BK2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Metafeld 15 — technischer Schlüssel</t>
        </r>
      </text>
    </comment>
    <comment ref="BL2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Metafield 15 — Wert (Text)</t>
        </r>
      </text>
    </comment>
    <comment ref="BM2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Titel (Deutsch)</t>
        </r>
      </text>
    </comment>
    <comment ref="BN2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Beschreibung HTML (Deutsch)</t>
        </r>
      </text>
    </comment>
    <comment ref="BO2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Stichpunkt 1</t>
        </r>
      </text>
    </comment>
    <comment ref="BP2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Stichpunkt 2</t>
        </r>
      </text>
    </comment>
    <comment ref="BQ2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Stichpunkt 3</t>
        </r>
      </text>
    </comment>
    <comment ref="BR2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Titel (English)</t>
        </r>
      </text>
    </comment>
    <comment ref="BS2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Beschreibung HTML (English)</t>
        </r>
      </text>
    </comment>
    <comment ref="BT2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Stichpunkt 1</t>
        </r>
      </text>
    </comment>
    <comment ref="BU2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Stichpunkt 2</t>
        </r>
      </text>
    </comment>
    <comment ref="BV2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Stichpunkt 3</t>
        </r>
      </text>
    </comment>
    <comment ref="BW2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Titel (Türkçe)</t>
        </r>
      </text>
    </comment>
    <comment ref="BX2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Beschreibung HTML (Türkçe)</t>
        </r>
      </text>
    </comment>
    <comment ref="BY2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Stichpunkt 1</t>
        </r>
      </text>
    </comment>
    <comment ref="BZ2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Stichpunkt 2</t>
        </r>
      </text>
    </comment>
    <comment ref="CA2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Stichpunkt 3</t>
        </r>
      </text>
    </comment>
    <comment ref="CB2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Titel (Français)</t>
        </r>
      </text>
    </comment>
    <comment ref="CC2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Beschreibung HTML (Français)</t>
        </r>
      </text>
    </comment>
    <comment ref="CD2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Stichpunkt 1</t>
        </r>
      </text>
    </comment>
    <comment ref="CE2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Stichpunkt 2</t>
        </r>
      </text>
    </comment>
    <comment ref="CF2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Stichpunkt 3</t>
        </r>
      </text>
    </comment>
    <comment ref="CG2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Titel (Italiano)</t>
        </r>
      </text>
    </comment>
    <comment ref="CH2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Beschreibung HTML (Italiano)</t>
        </r>
      </text>
    </comment>
    <comment ref="CI2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Stichpunkt 1</t>
        </r>
      </text>
    </comment>
    <comment ref="CJ2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Stichpunkt 2</t>
        </r>
      </text>
    </comment>
    <comment ref="CK2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Stichpunkt 3</t>
        </r>
      </text>
    </comment>
    <comment ref="CL2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Titel (Español)</t>
        </r>
      </text>
    </comment>
    <comment ref="CM2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Beschreibung HTML (Español)</t>
        </r>
      </text>
    </comment>
    <comment ref="CN2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Stichpunkt 1</t>
        </r>
      </text>
    </comment>
    <comment ref="CO2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Stichpunkt 2</t>
        </r>
      </text>
    </comment>
    <comment ref="CP2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Stichpunkt 3</t>
        </r>
      </text>
    </comment>
    <comment ref="CQ2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Brutto (Deutschland (EUR))</t>
        </r>
      </text>
    </comment>
    <comment ref="CR2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CS2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  <comment ref="CT2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Brutto (Österreich (EUR))</t>
        </r>
      </text>
    </comment>
    <comment ref="CU2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CV2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  <comment ref="CW2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Brutto (Schweiz (CHF))</t>
        </r>
      </text>
    </comment>
    <comment ref="CX2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CY2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  <comment ref="CZ2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Brutto (Frankreich (EUR))</t>
        </r>
      </text>
    </comment>
    <comment ref="DA2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DB2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  <comment ref="DC2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Brutto (Italien (EUR))</t>
        </r>
      </text>
    </comment>
    <comment ref="DD2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DE2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  <comment ref="DF2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Brutto (Spanien (EUR))</t>
        </r>
      </text>
    </comment>
    <comment ref="DG2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DH2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  <comment ref="DI2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Brutto (Türkei (TRY))</t>
        </r>
      </text>
    </comment>
    <comment ref="DJ2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DK2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  <comment ref="DL2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Brutto (USA (USD))</t>
        </r>
      </text>
    </comment>
    <comment ref="DM2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DN2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  <comment ref="DO2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SEO-Titel</t>
        </r>
      </text>
    </comment>
    <comment ref="DP2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SEO-Beschreibung</t>
        </r>
      </text>
    </comment>
    <comment ref="DQ2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Stichwörter (Komma)</t>
        </r>
      </text>
    </comment>
  </commentList>
</comments>
</file>

<file path=xl/sharedStrings.xml><?xml version="1.0" encoding="utf-8"?>
<sst xmlns="http://schemas.openxmlformats.org/spreadsheetml/2006/main" count="2179" uniqueCount="472">
  <si>
    <t>Core</t>
  </si>
  <si>
    <t>Metafields (optional +)</t>
  </si>
  <si>
    <t>🌐 Deutsch</t>
  </si>
  <si>
    <t>🌐 English</t>
  </si>
  <si>
    <t>🌐 Türkçe</t>
  </si>
  <si>
    <t>🌐 Français</t>
  </si>
  <si>
    <t>🌐 Italiano</t>
  </si>
  <si>
    <t>🌐 Español</t>
  </si>
  <si>
    <t>💰 Deutschland (EUR)</t>
  </si>
  <si>
    <t>💰 Österreich (EUR)</t>
  </si>
  <si>
    <t>💰 Schweiz (CHF)</t>
  </si>
  <si>
    <t>💰 Frankreich (EUR)</t>
  </si>
  <si>
    <t>💰 Italien (EUR)</t>
  </si>
  <si>
    <t>💰 Spanien (EUR)</t>
  </si>
  <si>
    <t>💰 Türkei (TRY)</t>
  </si>
  <si>
    <t>💰 USA (USD)</t>
  </si>
  <si>
    <t>SEO</t>
  </si>
  <si>
    <t>product_type</t>
  </si>
  <si>
    <t>sku</t>
  </si>
  <si>
    <t>parent_sku</t>
  </si>
  <si>
    <t>status</t>
  </si>
  <si>
    <t>ean</t>
  </si>
  <si>
    <t>inventory</t>
  </si>
  <si>
    <t>brand</t>
  </si>
  <si>
    <t>type</t>
  </si>
  <si>
    <t>category_slug</t>
  </si>
  <si>
    <t>shipping_group</t>
  </si>
  <si>
    <t>weight_grams</t>
  </si>
  <si>
    <t>dim_length_cm</t>
  </si>
  <si>
    <t>dim_width_cm</t>
  </si>
  <si>
    <t>dim_height_cm</t>
  </si>
  <si>
    <t>image_url_1</t>
  </si>
  <si>
    <t>image_url_2</t>
  </si>
  <si>
    <t>image_url_3</t>
  </si>
  <si>
    <t>image_url_4</t>
  </si>
  <si>
    <t>image_url_5</t>
  </si>
  <si>
    <t>swatch_image_url</t>
  </si>
  <si>
    <t>option1_name</t>
  </si>
  <si>
    <t>option1_value</t>
  </si>
  <si>
    <t>option2_name</t>
  </si>
  <si>
    <t>option2_value</t>
  </si>
  <si>
    <t>option3_name</t>
  </si>
  <si>
    <t>option3_value</t>
  </si>
  <si>
    <t>option4_name</t>
  </si>
  <si>
    <t>option4_value</t>
  </si>
  <si>
    <t>option5_name</t>
  </si>
  <si>
    <t>option5_value</t>
  </si>
  <si>
    <t>option6_name</t>
  </si>
  <si>
    <t>option6_value</t>
  </si>
  <si>
    <t>unit_type</t>
  </si>
  <si>
    <t>unit_value</t>
  </si>
  <si>
    <t>metafield_1_key</t>
  </si>
  <si>
    <t>metafield_1_value</t>
  </si>
  <si>
    <t>metafield_2_key</t>
  </si>
  <si>
    <t>metafield_2_value</t>
  </si>
  <si>
    <t>metafield_3_key</t>
  </si>
  <si>
    <t>metafield_3_value</t>
  </si>
  <si>
    <t>metafield_4_key</t>
  </si>
  <si>
    <t>metafield_4_value</t>
  </si>
  <si>
    <t>metafield_5_key</t>
  </si>
  <si>
    <t>metafield_5_value</t>
  </si>
  <si>
    <t>metafield_6_key</t>
  </si>
  <si>
    <t>metafield_6_value</t>
  </si>
  <si>
    <t>metafield_7_key</t>
  </si>
  <si>
    <t>metafield_7_value</t>
  </si>
  <si>
    <t>metafield_8_key</t>
  </si>
  <si>
    <t>metafield_8_value</t>
  </si>
  <si>
    <t>metafield_9_key</t>
  </si>
  <si>
    <t>metafield_9_value</t>
  </si>
  <si>
    <t>metafield_10_key</t>
  </si>
  <si>
    <t>metafield_10_value</t>
  </si>
  <si>
    <t>metafield_11_key</t>
  </si>
  <si>
    <t>metafield_11_value</t>
  </si>
  <si>
    <t>metafield_12_key</t>
  </si>
  <si>
    <t>metafield_12_value</t>
  </si>
  <si>
    <t>metafield_13_key</t>
  </si>
  <si>
    <t>metafield_13_value</t>
  </si>
  <si>
    <t>metafield_14_key</t>
  </si>
  <si>
    <t>metafield_14_value</t>
  </si>
  <si>
    <t>metafield_15_key</t>
  </si>
  <si>
    <t>metafield_15_value</t>
  </si>
  <si>
    <t>title_de</t>
  </si>
  <si>
    <t>description_de</t>
  </si>
  <si>
    <t>bullet1_de</t>
  </si>
  <si>
    <t>bullet2_de</t>
  </si>
  <si>
    <t>bullet3_de</t>
  </si>
  <si>
    <t>title_en</t>
  </si>
  <si>
    <t>description_en</t>
  </si>
  <si>
    <t>bullet1_en</t>
  </si>
  <si>
    <t>bullet2_en</t>
  </si>
  <si>
    <t>bullet3_en</t>
  </si>
  <si>
    <t>title_tr</t>
  </si>
  <si>
    <t>description_tr</t>
  </si>
  <si>
    <t>bullet1_tr</t>
  </si>
  <si>
    <t>bullet2_tr</t>
  </si>
  <si>
    <t>bullet3_tr</t>
  </si>
  <si>
    <t>title_fr</t>
  </si>
  <si>
    <t>description_fr</t>
  </si>
  <si>
    <t>bullet1_fr</t>
  </si>
  <si>
    <t>bullet2_fr</t>
  </si>
  <si>
    <t>bullet3_fr</t>
  </si>
  <si>
    <t>title_it</t>
  </si>
  <si>
    <t>description_it</t>
  </si>
  <si>
    <t>bullet1_it</t>
  </si>
  <si>
    <t>bullet2_it</t>
  </si>
  <si>
    <t>bullet3_it</t>
  </si>
  <si>
    <t>title_es</t>
  </si>
  <si>
    <t>description_es</t>
  </si>
  <si>
    <t>bullet1_es</t>
  </si>
  <si>
    <t>bullet2_es</t>
  </si>
  <si>
    <t>bullet3_es</t>
  </si>
  <si>
    <t>price_brutto_DE</t>
  </si>
  <si>
    <t>price_uvp_DE</t>
  </si>
  <si>
    <t>price_sale_DE</t>
  </si>
  <si>
    <t>price_brutto_AT</t>
  </si>
  <si>
    <t>price_uvp_AT</t>
  </si>
  <si>
    <t>price_sale_AT</t>
  </si>
  <si>
    <t>price_brutto_CH</t>
  </si>
  <si>
    <t>price_uvp_CH</t>
  </si>
  <si>
    <t>price_sale_CH</t>
  </si>
  <si>
    <t>price_brutto_FR</t>
  </si>
  <si>
    <t>price_uvp_FR</t>
  </si>
  <si>
    <t>price_sale_FR</t>
  </si>
  <si>
    <t>price_brutto_IT</t>
  </si>
  <si>
    <t>price_uvp_IT</t>
  </si>
  <si>
    <t>price_sale_IT</t>
  </si>
  <si>
    <t>price_brutto_ES</t>
  </si>
  <si>
    <t>price_uvp_ES</t>
  </si>
  <si>
    <t>price_sale_ES</t>
  </si>
  <si>
    <t>price_brutto_TR</t>
  </si>
  <si>
    <t>price_uvp_TR</t>
  </si>
  <si>
    <t>price_sale_TR</t>
  </si>
  <si>
    <t>price_brutto_US</t>
  </si>
  <si>
    <t>price_uvp_US</t>
  </si>
  <si>
    <t>price_sale_US</t>
  </si>
  <si>
    <t>seo_title</t>
  </si>
  <si>
    <t>seo_description</t>
  </si>
  <si>
    <t>seo_keywords</t>
  </si>
  <si>
    <t>Dropdown: parent | child</t>
  </si>
  <si>
    <t>Eindeutige Artikel-Nr. (Pflicht)</t>
  </si>
  <si>
    <t>Nur child: SKU der Parent-Zeile</t>
  </si>
  <si>
    <t>Dropdown: draft | published</t>
  </si>
  <si>
    <t>EAN / GTIN</t>
  </si>
  <si>
    <t>Lagerbestand (Zahl)</t>
  </si>
  <si>
    <t>Dropdown: Markenname wie in der Liste</t>
  </si>
  <si>
    <t>Produkttyp / Bezeichnung (frei)</t>
  </si>
  <si>
    <t>Dropdown: exakter Slug aus Anleitung</t>
  </si>
  <si>
    <t>Dropdown: Versandgruppe (Name)</t>
  </si>
  <si>
    <t>Gewicht in Gramm</t>
  </si>
  <si>
    <t>Länge cm</t>
  </si>
  <si>
    <t>Breite cm</t>
  </si>
  <si>
    <t>Höhe cm</t>
  </si>
  <si>
    <t>Bild-URL 1 (Parent/Hauptbild)</t>
  </si>
  <si>
    <t>Bild-URL 2</t>
  </si>
  <si>
    <t>Bild-URL 3</t>
  </si>
  <si>
    <t>Bild-URL 4</t>
  </si>
  <si>
    <t>Bild-URL 5</t>
  </si>
  <si>
    <t>Farbmuster-URL (oft Variante 1)</t>
  </si>
  <si>
    <t>Parent: z.B. Farbe</t>
  </si>
  <si>
    <t>Child: z.B. Rot</t>
  </si>
  <si>
    <t>Parent: z.B. Größe</t>
  </si>
  <si>
    <t>Child: z.B. M</t>
  </si>
  <si>
    <t>Parent: weitere Option (optional)</t>
  </si>
  <si>
    <t>Child: Wert für Option 3</t>
  </si>
  <si>
    <t>Child: Wert für Option 4</t>
  </si>
  <si>
    <t>Child: Wert für Option 5</t>
  </si>
  <si>
    <t>Child: Wert für Option 6</t>
  </si>
  <si>
    <t>Dropdown: kg | g | L | ml | stück</t>
  </si>
  <si>
    <t>z.B. 200</t>
  </si>
  <si>
    <t>Metafeld 1 — technischer Schlüssel</t>
  </si>
  <si>
    <t>Metafield 1 — Wert (Text)</t>
  </si>
  <si>
    <t>Metafeld 2 — technischer Schlüssel</t>
  </si>
  <si>
    <t>Metafield 2 — Wert (Text)</t>
  </si>
  <si>
    <t>Metafeld 3 — technischer Schlüssel</t>
  </si>
  <si>
    <t>Metafield 3 — Wert (Text)</t>
  </si>
  <si>
    <t>Metafeld 4 — technischer Schlüssel</t>
  </si>
  <si>
    <t>Metafield 4 — Wert (Text)</t>
  </si>
  <si>
    <t>Metafeld 5 — technischer Schlüssel</t>
  </si>
  <si>
    <t>Metafield 5 — Wert (Text)</t>
  </si>
  <si>
    <t>Metafeld 6 — technischer Schlüssel</t>
  </si>
  <si>
    <t>Metafield 6 — Wert (Text)</t>
  </si>
  <si>
    <t>Metafeld 7 — technischer Schlüssel</t>
  </si>
  <si>
    <t>Metafield 7 — Wert (Text)</t>
  </si>
  <si>
    <t>Metafeld 8 — technischer Schlüssel</t>
  </si>
  <si>
    <t>Metafield 8 — Wert (Text)</t>
  </si>
  <si>
    <t>Metafeld 9 — technischer Schlüssel</t>
  </si>
  <si>
    <t>Metafield 9 — Wert (Text)</t>
  </si>
  <si>
    <t>Metafeld 10 — technischer Schlüssel</t>
  </si>
  <si>
    <t>Metafield 10 — Wert (Text)</t>
  </si>
  <si>
    <t>Metafeld 11 — technischer Schlüssel</t>
  </si>
  <si>
    <t>Metafield 11 — Wert (Text)</t>
  </si>
  <si>
    <t>Metafeld 12 — technischer Schlüssel</t>
  </si>
  <si>
    <t>Metafield 12 — Wert (Text)</t>
  </si>
  <si>
    <t>Metafeld 13 — technischer Schlüssel</t>
  </si>
  <si>
    <t>Metafield 13 — Wert (Text)</t>
  </si>
  <si>
    <t>Metafeld 14 — technischer Schlüssel</t>
  </si>
  <si>
    <t>Metafield 14 — Wert (Text)</t>
  </si>
  <si>
    <t>Metafeld 15 — technischer Schlüssel</t>
  </si>
  <si>
    <t>Metafield 15 — Wert (Text)</t>
  </si>
  <si>
    <t>Titel (Deutsch)</t>
  </si>
  <si>
    <t>Beschreibung HTML (Deutsch)</t>
  </si>
  <si>
    <t>Stichpunkt 1</t>
  </si>
  <si>
    <t>Stichpunkt 2</t>
  </si>
  <si>
    <t>Stichpunkt 3</t>
  </si>
  <si>
    <t>Titel (English)</t>
  </si>
  <si>
    <t>Beschreibung HTML (English)</t>
  </si>
  <si>
    <t>Titel (Türkçe)</t>
  </si>
  <si>
    <t>Beschreibung HTML (Türkçe)</t>
  </si>
  <si>
    <t>Titel (Français)</t>
  </si>
  <si>
    <t>Beschreibung HTML (Français)</t>
  </si>
  <si>
    <t>Titel (Italiano)</t>
  </si>
  <si>
    <t>Beschreibung HTML (Italiano)</t>
  </si>
  <si>
    <t>Titel (Español)</t>
  </si>
  <si>
    <t>Beschreibung HTML (Español)</t>
  </si>
  <si>
    <t>Brutto (Deutschland (EUR))</t>
  </si>
  <si>
    <t>UVP</t>
  </si>
  <si>
    <t>Aktionspreis</t>
  </si>
  <si>
    <t>Brutto (Österreich (EUR))</t>
  </si>
  <si>
    <t>Brutto (Schweiz (CHF))</t>
  </si>
  <si>
    <t>Brutto (Frankreich (EUR))</t>
  </si>
  <si>
    <t>Brutto (Italien (EUR))</t>
  </si>
  <si>
    <t>Brutto (Spanien (EUR))</t>
  </si>
  <si>
    <t>Brutto (Türkei (TRY))</t>
  </si>
  <si>
    <t>Brutto (USA (USD))</t>
  </si>
  <si>
    <t>SEO-Titel</t>
  </si>
  <si>
    <t>SEO-Beschreibung</t>
  </si>
  <si>
    <t>Stichwörter (Komma)</t>
  </si>
  <si>
    <t>parent</t>
  </si>
  <si>
    <t>published</t>
  </si>
  <si>
    <t>4012345678901</t>
  </si>
  <si>
    <t/>
  </si>
  <si>
    <t>Belucha</t>
  </si>
  <si>
    <t>appliances</t>
  </si>
  <si>
    <t>Deutschland Standart</t>
  </si>
  <si>
    <t>Farbe</t>
  </si>
  <si>
    <t>Größe</t>
  </si>
  <si>
    <t>child</t>
  </si>
  <si>
    <t>4012345678902</t>
  </si>
  <si>
    <t>Rot</t>
  </si>
  <si>
    <t>S</t>
  </si>
  <si>
    <t>4012345678903</t>
  </si>
  <si>
    <t>M</t>
  </si>
  <si>
    <t>BELUCHA — Produkte per Excel importieren</t>
  </si>
  <si>
    <t>Diese Arbeitsmappe hat zwei Blätter: „Products“ (Ihre Daten) und „Anleitung“ (Spaltenhilfe). Die URL-Handles (SEO-Pfade) werden vom System automatisch aus dem Titel erzeugt — keine handle_*-Spalten.</t>
  </si>
  <si>
    <t>Für dieses Template gewählte Kategorien (category_slug exakt so eintragen):</t>
  </si>
  <si>
    <t>slug	Pfad</t>
  </si>
  <si>
    <t>appliances	Appliances</t>
  </si>
  <si>
    <t>Marken (Dropdown „brand“) — nur exakt diese Namen sind gültig; sonst schlägt der Import fehl:</t>
  </si>
  <si>
    <t>• Belucha</t>
  </si>
  <si>
    <t>• Ecommezzo Brand</t>
  </si>
  <si>
    <t>• Marka3</t>
  </si>
  <si>
    <t>• Yeni Marka</t>
  </si>
  <si>
    <t>Versandgruppen (Dropdown „shipping_group“) — Namen wie unter Einstellungen &gt; Versand:</t>
  </si>
  <si>
    <t>• Deutschland Standart</t>
  </si>
  <si>
    <t>• Standart DHL</t>
  </si>
  <si>
    <t>Wichtige Spalten (Blatt „Products“, ab Zeile 4)</t>
  </si>
  <si>
    <t>Zeilen 1–3: Gruppenkopf, Spaltenname, Kurzhinweis — nicht löschen.</t>
  </si>
  <si>
    <t>Parent-Zeilen: gemeinsame Texte, Bilder, Preise, Kategorie, Marke, Versandgruppe, optionN_name (Optionstitel). Child-Zeilen: gleiche product_type-Spalte „child“, parent_sku, varianten-spezifisch optionN_value, SKU, EAN, Lager, optionale Bilder/Swatch.</t>
  </si>
  <si>
    <t>Varianten: Mindestens zwei Optionen (option1/option2) sind im Beispiel; Sie können option3_name … option6_name (und passende *_value in Child-Zeilen) nutzen. Weitere Optionen können Sie analog ergänzen (option7_name …), sofern Sie die Spalten in Excel hinzufügen — der Import liest alle fortlaufenden optionN_*-Spalten.</t>
  </si>
  <si>
    <t>Metafelder: Paare metafield_N_key / metafield_N_value (hier N=1…15). Sie können weitere Paare mit N=16,17,… als neue Spalten anfügen — der Import übernimmt alle solchen Spalten.</t>
  </si>
  <si>
    <t>Kollektionen werden bei diesem Import nicht per Excel gesetzt — bitte im Anschluss in der Oberfläche zuordnen, falls nötig.</t>
  </si>
  <si>
    <t>Preise mit Punkt als Dezimaltrenner (z.B. 29.99). HTML in description_* ist erlaubt.</t>
  </si>
  <si>
    <t>Leere Datenzeilen werden übersprungen. Zeilen mit SKU beginnend mit # sind Kommentare.</t>
  </si>
  <si>
    <t>Bestehende Produkte: Stimmt die Parent-SKU mit einer SKU im System überein, wird das Produkt aktualisiert — es wird nur überschrieben, was in der Excel-Zelle gefüllt ist; leere Zellen lassen die bisherigen Werte unverändert.</t>
  </si>
  <si>
    <t>draft</t>
  </si>
  <si>
    <t>kg</t>
  </si>
  <si>
    <t>g</t>
  </si>
  <si>
    <t>Ecommezzo Brand</t>
  </si>
  <si>
    <t>Standart DHL</t>
  </si>
  <si>
    <t>L</t>
  </si>
  <si>
    <t>Marka3</t>
  </si>
  <si>
    <t>ml</t>
  </si>
  <si>
    <t>Yeni Marka</t>
  </si>
  <si>
    <t>stück</t>
  </si>
  <si>
    <t>excel-test-1</t>
  </si>
  <si>
    <t>Schwarz</t>
  </si>
  <si>
    <t>Weiß</t>
  </si>
  <si>
    <t>Grün</t>
  </si>
  <si>
    <t>Blau</t>
  </si>
  <si>
    <t>Gelb</t>
  </si>
  <si>
    <t>Lila</t>
  </si>
  <si>
    <t>Braun</t>
  </si>
  <si>
    <t>Rosa</t>
  </si>
  <si>
    <t>XL</t>
  </si>
  <si>
    <t>excel-test-2</t>
  </si>
  <si>
    <t>excel-test-1-Rot-S</t>
  </si>
  <si>
    <t>excel-test-1-Schwarz-S</t>
  </si>
  <si>
    <t>excel-test-1-Weiß-S</t>
  </si>
  <si>
    <t>excel-test-1-Grün-S</t>
  </si>
  <si>
    <t>excel-test-1-Blau-S</t>
  </si>
  <si>
    <t>excel-test-1-Gelb-S</t>
  </si>
  <si>
    <t>excel-test-1-Lila-S</t>
  </si>
  <si>
    <t>excel-test-1-Braun-S</t>
  </si>
  <si>
    <t>excel-test-1-Rosa-S</t>
  </si>
  <si>
    <t>excel-test-1-Rot-M</t>
  </si>
  <si>
    <t>excel-test-1-Schwarz-M</t>
  </si>
  <si>
    <t>excel-test-1-Weiß-M</t>
  </si>
  <si>
    <t>excel-test-1-Grün-M</t>
  </si>
  <si>
    <t>excel-test-1-Blau-M</t>
  </si>
  <si>
    <t>excel-test-1-Gelb-M</t>
  </si>
  <si>
    <t>excel-test-1-Lila-M</t>
  </si>
  <si>
    <t>excel-test-1-Braun-M</t>
  </si>
  <si>
    <t>excel-test-1-Rosa-M</t>
  </si>
  <si>
    <t>excel-test-1-Rot-L</t>
  </si>
  <si>
    <t>excel-test-1-Schwarz-L</t>
  </si>
  <si>
    <t>excel-test-1-Weiß-L</t>
  </si>
  <si>
    <t>excel-test-1-Grün-L</t>
  </si>
  <si>
    <t>excel-test-1-Blau-L</t>
  </si>
  <si>
    <t>excel-test-1-Gelb-L</t>
  </si>
  <si>
    <t>excel-test-1-Lila-L</t>
  </si>
  <si>
    <t>excel-test-1-Braun-L</t>
  </si>
  <si>
    <t>excel-test-1-Rosa-L</t>
  </si>
  <si>
    <t>excel-test-1-Rot-XL</t>
  </si>
  <si>
    <t>excel-test-1-Schwarz-XL</t>
  </si>
  <si>
    <t>excel-test-1-Weiß-XL</t>
  </si>
  <si>
    <t>excel-test-1-Grün-XL</t>
  </si>
  <si>
    <t>excel-test-1-Blau-XL</t>
  </si>
  <si>
    <t>excel-test-1-Gelb-XL</t>
  </si>
  <si>
    <t>excel-test-1-Lila-XL</t>
  </si>
  <si>
    <t>excel-test-1-Braun-XL</t>
  </si>
  <si>
    <t>excel-test-1-Rosa-XL</t>
  </si>
  <si>
    <t>excel-test-2-Rot-S</t>
  </si>
  <si>
    <t>excel-test-2-Schwarz-S</t>
  </si>
  <si>
    <t>excel-test-2-Weiß-S</t>
  </si>
  <si>
    <t>excel-test-2-Grün-S</t>
  </si>
  <si>
    <t>excel-test-2-Blau-S</t>
  </si>
  <si>
    <t>excel-test-2-Gelb-S</t>
  </si>
  <si>
    <t>excel-test-2-Lila-S</t>
  </si>
  <si>
    <t>excel-test-2-Braun-S</t>
  </si>
  <si>
    <t>excel-test-2-Rosa-S</t>
  </si>
  <si>
    <t>excel-test-2-Rot-M</t>
  </si>
  <si>
    <t>excel-test-2-Schwarz-M</t>
  </si>
  <si>
    <t>excel-test-2-Weiß-M</t>
  </si>
  <si>
    <t>excel-test-2-Grün-M</t>
  </si>
  <si>
    <t>excel-test-2-Blau-M</t>
  </si>
  <si>
    <t>excel-test-2-Gelb-M</t>
  </si>
  <si>
    <t>excel-test-2-Lila-M</t>
  </si>
  <si>
    <t>excel-test-2-Braun-M</t>
  </si>
  <si>
    <t>excel-test-2-Rosa-M</t>
  </si>
  <si>
    <t>excel-test-2-Rot-L</t>
  </si>
  <si>
    <t>excel-test-2-Schwarz-L</t>
  </si>
  <si>
    <t>excel-test-2-Weiß-L</t>
  </si>
  <si>
    <t>excel-test-2-Grün-L</t>
  </si>
  <si>
    <t>excel-test-2-Blau-L</t>
  </si>
  <si>
    <t>excel-test-2-Gelb-L</t>
  </si>
  <si>
    <t>excel-test-2-Lila-L</t>
  </si>
  <si>
    <t>excel-test-2-Braun-L</t>
  </si>
  <si>
    <t>excel-test-2-Rosa-L</t>
  </si>
  <si>
    <t>excel-test-2-Rot-XL</t>
  </si>
  <si>
    <t>excel-test-2-Schwarz-XL</t>
  </si>
  <si>
    <t>excel-test-2-Weiß-XL</t>
  </si>
  <si>
    <t>excel-test-2-Grün-XL</t>
  </si>
  <si>
    <t>excel-test-2-Blau-XL</t>
  </si>
  <si>
    <t>excel-test-2-Gelb-XL</t>
  </si>
  <si>
    <t>excel-test-2-Lila-XL</t>
  </si>
  <si>
    <t>excel-test-2-Braun-XL</t>
  </si>
  <si>
    <t>excel-test-2-Rosa-XL</t>
  </si>
  <si>
    <t>4012345678900</t>
  </si>
  <si>
    <t>4012345678904</t>
  </si>
  <si>
    <t>4012345678905</t>
  </si>
  <si>
    <t>4012345678906</t>
  </si>
  <si>
    <t>4012345678907</t>
  </si>
  <si>
    <t>4012345678908</t>
  </si>
  <si>
    <t>4012345678909</t>
  </si>
  <si>
    <t>4012345678910</t>
  </si>
  <si>
    <t>4012345678911</t>
  </si>
  <si>
    <t>4012345678912</t>
  </si>
  <si>
    <t>4012345678913</t>
  </si>
  <si>
    <t>4012345678914</t>
  </si>
  <si>
    <t>4012345678915</t>
  </si>
  <si>
    <t>4012345678916</t>
  </si>
  <si>
    <t>4012345678917</t>
  </si>
  <si>
    <t>4012345678918</t>
  </si>
  <si>
    <t>4012345678919</t>
  </si>
  <si>
    <t>4012345678920</t>
  </si>
  <si>
    <t>4012345678921</t>
  </si>
  <si>
    <t>4012345678922</t>
  </si>
  <si>
    <t>4012345678923</t>
  </si>
  <si>
    <t>4012345678924</t>
  </si>
  <si>
    <t>4012345678925</t>
  </si>
  <si>
    <t>4012345678926</t>
  </si>
  <si>
    <t>4012345678927</t>
  </si>
  <si>
    <t>4012345678928</t>
  </si>
  <si>
    <t>4012345678929</t>
  </si>
  <si>
    <t>4012345678930</t>
  </si>
  <si>
    <t>4012345678931</t>
  </si>
  <si>
    <t>4012345678932</t>
  </si>
  <si>
    <t>4012345678933</t>
  </si>
  <si>
    <t>4012345678934</t>
  </si>
  <si>
    <t>4012345678935</t>
  </si>
  <si>
    <t>4112345678900</t>
  </si>
  <si>
    <t>4112345678901</t>
  </si>
  <si>
    <t>4112345678902</t>
  </si>
  <si>
    <t>4112345678903</t>
  </si>
  <si>
    <t>4112345678904</t>
  </si>
  <si>
    <t>4112345678905</t>
  </si>
  <si>
    <t>4112345678906</t>
  </si>
  <si>
    <t>4112345678907</t>
  </si>
  <si>
    <t>4112345678908</t>
  </si>
  <si>
    <t>4112345678909</t>
  </si>
  <si>
    <t>4112345678910</t>
  </si>
  <si>
    <t>4112345678911</t>
  </si>
  <si>
    <t>4112345678912</t>
  </si>
  <si>
    <t>4112345678913</t>
  </si>
  <si>
    <t>4112345678914</t>
  </si>
  <si>
    <t>4112345678915</t>
  </si>
  <si>
    <t>4112345678916</t>
  </si>
  <si>
    <t>4112345678917</t>
  </si>
  <si>
    <t>4112345678918</t>
  </si>
  <si>
    <t>4112345678919</t>
  </si>
  <si>
    <t>4112345678920</t>
  </si>
  <si>
    <t>4112345678921</t>
  </si>
  <si>
    <t>4112345678922</t>
  </si>
  <si>
    <t>4112345678923</t>
  </si>
  <si>
    <t>4112345678924</t>
  </si>
  <si>
    <t>4112345678925</t>
  </si>
  <si>
    <t>4112345678926</t>
  </si>
  <si>
    <t>4112345678927</t>
  </si>
  <si>
    <t>4112345678928</t>
  </si>
  <si>
    <t>4112345678929</t>
  </si>
  <si>
    <t>4112345678930</t>
  </si>
  <si>
    <t>4112345678931</t>
  </si>
  <si>
    <t>4112345678932</t>
  </si>
  <si>
    <t>4112345678933</t>
  </si>
  <si>
    <t>4112345678934</t>
  </si>
  <si>
    <t>4112345678935</t>
  </si>
  <si>
    <t>Tütün tabakasi</t>
  </si>
  <si>
    <t>https://m.media-amazon.com/images/I/51J5tLCidBL._AC_SX679_.jpg</t>
  </si>
  <si>
    <t>https://m.media-amazon.com/images/I/61eQRHX+22L._AC_SL1500_.jpg</t>
  </si>
  <si>
    <t>https://m.media-amazon.com/images/I/219wvc8zrtL._SS64_.jpg</t>
  </si>
  <si>
    <t>https://m.media-amazon.com/images/I/61CMyLmHc8L._AC_SL1500_.jpg</t>
  </si>
  <si>
    <t>https://m.media-amazon.com/images/I/6148-O7kftL._AC_SX679_.jpg</t>
  </si>
  <si>
    <t>https://m.media-amazon.com/images/I/71SJku6iztL._AC_SX679_.jpg</t>
  </si>
  <si>
    <t>https://m.media-amazon.com/images/I/51GcTR-fuYL._AC_SX679_.jpg</t>
  </si>
  <si>
    <t>https://m.media-amazon.com/images/I/51DSEUFI0jL._AC_SX679_.jpg</t>
  </si>
  <si>
    <t>https://m.media-amazon.com/images/I/51km1EjdUjL._AC_SX679_.jpg</t>
  </si>
  <si>
    <t>https://m.media-amazon.com/images/I/61iCtoL3qlL._AC_SX679_.jpg</t>
  </si>
  <si>
    <t>https://m.media-amazon.com/images/I/71nB8cyCCpL._AC_SL1500_.jpg</t>
  </si>
  <si>
    <t>https://m.media-amazon.com/images/I/61rxWOWLdvL._AC_SX679_.jpg</t>
  </si>
  <si>
    <t>https://m.media-amazon.com/images/I/51V-pP3R1KL._AC_SL1500_.jpg</t>
  </si>
  <si>
    <t>https://m.media-amazon.com/images/I/61PxuCZMixL._AC_SX679_.jpg</t>
  </si>
  <si>
    <t>https://m.media-amazon.com/images/I/61ZSm0g57jL._AC_SX679_.jpg</t>
  </si>
  <si>
    <t>https://m.media-amazon.com/images/I/61757xwJqWL._AC_SX679_.jpg</t>
  </si>
  <si>
    <t>https://m.media-amazon.com/images/I/61tBs-Q98lL._AC_SX679_.jpg</t>
  </si>
  <si>
    <t>https://m.media-amazon.com/images/I/619sQ2rE4mL._AC_SL1500_.jpg</t>
  </si>
  <si>
    <t>https://m.media-amazon.com/images/I/617wImyePcL._AC_SX679_.jpg</t>
  </si>
  <si>
    <t>https://m.media-amazon.com/images/I/61UHyJ6z7CL._AC_SX679_.jpg</t>
  </si>
  <si>
    <t>https://m.media-amazon.com/images/I/61AYKA+aCYL._AC_SX679_.jpg</t>
  </si>
  <si>
    <t>https://m.media-amazon.com/images/I/31rW-VrvodL._SS64_.jpg</t>
  </si>
  <si>
    <t>https://m.media-amazon.com/images/I/21wjSXBD6NL._SS64_.jpg</t>
  </si>
  <si>
    <t>https://m.media-amazon.com/images/I/21+XzVSAjHL._SS64_.jpg</t>
  </si>
  <si>
    <t>https://m.media-amazon.com/images/I/21ftve6llML._SS64_.jpg</t>
  </si>
  <si>
    <t>https://m.media-amazon.com/images/I/21E2C91WHrL._SS64_.jpg</t>
  </si>
  <si>
    <t>https://m.media-amazon.com/images/I/211OPtWe3vL._SS64_.jpg</t>
  </si>
  <si>
    <t>https://m.media-amazon.com/images/I/21VelAb+XrL._SS64_.jpg</t>
  </si>
  <si>
    <t>https://m.media-amazon.com/images/I/21gv1atqjSL._SS64_.jpg</t>
  </si>
  <si>
    <t>Füllmenge</t>
  </si>
  <si>
    <t>200 gram</t>
  </si>
  <si>
    <t>Geschmack</t>
  </si>
  <si>
    <t>Tabak</t>
  </si>
  <si>
    <t>Material</t>
  </si>
  <si>
    <t>Leder</t>
  </si>
  <si>
    <t>Gefühl</t>
  </si>
  <si>
    <t>Glatt</t>
  </si>
  <si>
    <t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t>
  </si>
  <si>
    <t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t>
  </si>
  <si>
    <t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t>
  </si>
  <si>
    <t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t>
  </si>
  <si>
    <t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t>
  </si>
  <si>
    <t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</si>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</sst>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rgb="FF1E3A5F"/>
      <name val="Calibri"/>
    </font>
    <font>
      <b/>
      <sz val="10"/>
      <color rgb="FF5F4B0B"/>
      <name val="Calibri"/>
    </font>
    <font>
      <b/>
      <sz val="10"/>
      <color rgb="FF1D6F42"/>
      <name val="Calibri"/>
    </font>
    <font>
      <b/>
      <sz val="10"/>
      <color rgb="FF7B3F00"/>
      <name val="Calibri"/>
    </font>
    <font>
      <b/>
      <sz val="10"/>
      <color rgb="FF4A235A"/>
      <name val="Calibri"/>
    </font>
    <font>
      <b/>
      <sz val="9"/>
      <color rgb="FF1E3A5F"/>
      <name val="Calibri"/>
    </font>
    <font>
      <b/>
      <sz val="9"/>
      <color rgb="FF5F4B0B"/>
      <name val="Calibri"/>
    </font>
    <font>
      <b/>
      <sz val="9"/>
      <color rgb="FF1D6F42"/>
      <name val="Calibri"/>
    </font>
    <font>
      <b/>
      <sz val="9"/>
      <color rgb="FF7B3F00"/>
      <name val="Calibri"/>
    </font>
    <font>
      <b/>
      <sz val="9"/>
      <color rgb="FF4A235A"/>
      <name val="Calibri"/>
    </font>
    <font>
      <i/>
      <sz val="8"/>
      <color rgb="FF888888"/>
      <name val="Calibri"/>
    </font>
    <font>
      <b/>
      <sz val="11"/>
      <color rgb="FF1E3A5F"/>
      <name val="Calibri"/>
    </font>
    <font>
      <sz val="10"/>
      <name val="Calibri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E5FF"/>
      </patternFill>
    </fill>
    <fill>
      <patternFill patternType="solid">
        <fgColor rgb="FFF9E79F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3E5F5"/>
      </patternFill>
    </fill>
    <fill>
      <patternFill patternType="solid">
        <fgColor rgb="FFF7F7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7">
    <xf numFmtId="0" fontId="0" fillId="0" borderId="0" xfId="0"/>
    <xf numFmtId="0" fontId="6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12" fillId="0" borderId="0" xfId="0" applyFont="1"/>
    <xf numFmtId="0" fontId="13" fillId="0" borderId="0" xfId="0" applyFont="1"/>
    <xf numFmtId="1" fontId="0" fillId="0" borderId="0" xfId="0" applyNumberFormat="1"/>
    <xf numFmtId="0" fontId="14" fillId="0" borderId="0" xfId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.media-amazon.com/images/I/61AYKA+aCYL._AC_SX679_.jpg" TargetMode="External"/><Relationship Id="rId21" Type="http://schemas.openxmlformats.org/officeDocument/2006/relationships/hyperlink" Target="https://m.media-amazon.com/images/I/61eQRHX+22L._AC_SL1500_.jpg" TargetMode="External"/><Relationship Id="rId42" Type="http://schemas.openxmlformats.org/officeDocument/2006/relationships/hyperlink" Target="https://m.media-amazon.com/images/I/71SJku6iztL._AC_SX679_.jpg" TargetMode="External"/><Relationship Id="rId63" Type="http://schemas.openxmlformats.org/officeDocument/2006/relationships/hyperlink" Target="https://m.media-amazon.com/images/I/71SJku6iztL._AC_SX679_.jpg" TargetMode="External"/><Relationship Id="rId84" Type="http://schemas.openxmlformats.org/officeDocument/2006/relationships/hyperlink" Target="https://m.media-amazon.com/images/I/51J5tLCidBL._AC_SX679_.jpg" TargetMode="External"/><Relationship Id="rId138" Type="http://schemas.openxmlformats.org/officeDocument/2006/relationships/hyperlink" Target="https://m.media-amazon.com/images/I/61757xwJqWL._AC_SX679_.jpg" TargetMode="External"/><Relationship Id="rId159" Type="http://schemas.openxmlformats.org/officeDocument/2006/relationships/hyperlink" Target="https://m.media-amazon.com/images/I/61PxuCZMixL._AC_SX679_.jpg" TargetMode="External"/><Relationship Id="rId170" Type="http://schemas.openxmlformats.org/officeDocument/2006/relationships/hyperlink" Target="https://m.media-amazon.com/images/I/619sQ2rE4mL._AC_SL1500_.jpg" TargetMode="External"/><Relationship Id="rId191" Type="http://schemas.openxmlformats.org/officeDocument/2006/relationships/hyperlink" Target="https://m.media-amazon.com/images/I/219wvc8zrtL._SS64_.jpg" TargetMode="External"/><Relationship Id="rId205" Type="http://schemas.openxmlformats.org/officeDocument/2006/relationships/hyperlink" Target="https://m.media-amazon.com/images/I/21E2C91WHrL._SS64_.jpg" TargetMode="External"/><Relationship Id="rId107" Type="http://schemas.openxmlformats.org/officeDocument/2006/relationships/hyperlink" Target="https://m.media-amazon.com/images/I/51V-pP3R1KL._AC_SL1500_.jpg" TargetMode="External"/><Relationship Id="rId11" Type="http://schemas.openxmlformats.org/officeDocument/2006/relationships/hyperlink" Target="https://m.media-amazon.com/images/I/61eQRHX+22L._AC_SL1500_.jpg" TargetMode="External"/><Relationship Id="rId32" Type="http://schemas.openxmlformats.org/officeDocument/2006/relationships/hyperlink" Target="https://m.media-amazon.com/images/I/61eQRHX+22L._AC_SL1500_.jpg" TargetMode="External"/><Relationship Id="rId53" Type="http://schemas.openxmlformats.org/officeDocument/2006/relationships/hyperlink" Target="https://m.media-amazon.com/images/I/71SJku6iztL._AC_SX679_.jpg" TargetMode="External"/><Relationship Id="rId74" Type="http://schemas.openxmlformats.org/officeDocument/2006/relationships/hyperlink" Target="https://m.media-amazon.com/images/I/71SJku6iztL._AC_SX679_.jpg" TargetMode="External"/><Relationship Id="rId128" Type="http://schemas.openxmlformats.org/officeDocument/2006/relationships/hyperlink" Target="https://m.media-amazon.com/images/I/6148-O7kftL._AC_SX679_.jpg" TargetMode="External"/><Relationship Id="rId149" Type="http://schemas.openxmlformats.org/officeDocument/2006/relationships/hyperlink" Target="https://m.media-amazon.com/images/I/61UHyJ6z7CL._AC_SX679_.jpg" TargetMode="External"/><Relationship Id="rId5" Type="http://schemas.openxmlformats.org/officeDocument/2006/relationships/hyperlink" Target="https://m.media-amazon.com/images/I/61eQRHX+22L._AC_SL1500_.jpg" TargetMode="External"/><Relationship Id="rId95" Type="http://schemas.openxmlformats.org/officeDocument/2006/relationships/hyperlink" Target="https://m.media-amazon.com/images/I/51km1EjdUjL._AC_SX679_.jpg" TargetMode="External"/><Relationship Id="rId160" Type="http://schemas.openxmlformats.org/officeDocument/2006/relationships/hyperlink" Target="https://m.media-amazon.com/images/I/61PxuCZMixL._AC_SX679_.jpg" TargetMode="External"/><Relationship Id="rId181" Type="http://schemas.openxmlformats.org/officeDocument/2006/relationships/hyperlink" Target="https://m.media-amazon.com/images/I/61AYKA+aCYL._AC_SX679_.jpg" TargetMode="External"/><Relationship Id="rId216" Type="http://schemas.openxmlformats.org/officeDocument/2006/relationships/vmlDrawing" Target="../drawings/vmlDrawing1.vml"/><Relationship Id="rId22" Type="http://schemas.openxmlformats.org/officeDocument/2006/relationships/hyperlink" Target="https://m.media-amazon.com/images/I/61eQRHX+22L._AC_SL1500_.jpg" TargetMode="External"/><Relationship Id="rId43" Type="http://schemas.openxmlformats.org/officeDocument/2006/relationships/hyperlink" Target="https://m.media-amazon.com/images/I/71SJku6iztL._AC_SX679_.jpg" TargetMode="External"/><Relationship Id="rId64" Type="http://schemas.openxmlformats.org/officeDocument/2006/relationships/hyperlink" Target="https://m.media-amazon.com/images/I/71SJku6iztL._AC_SX679_.jpg" TargetMode="External"/><Relationship Id="rId118" Type="http://schemas.openxmlformats.org/officeDocument/2006/relationships/hyperlink" Target="https://m.media-amazon.com/images/I/6148-O7kftL._AC_SX679_.jpg" TargetMode="External"/><Relationship Id="rId139" Type="http://schemas.openxmlformats.org/officeDocument/2006/relationships/hyperlink" Target="https://m.media-amazon.com/images/I/61tBs-Q98lL._AC_SX679_.jpg" TargetMode="External"/><Relationship Id="rId85" Type="http://schemas.openxmlformats.org/officeDocument/2006/relationships/hyperlink" Target="https://m.media-amazon.com/images/I/51J5tLCidBL._AC_SX679_.jpg" TargetMode="External"/><Relationship Id="rId150" Type="http://schemas.openxmlformats.org/officeDocument/2006/relationships/hyperlink" Target="https://m.media-amazon.com/images/I/61UHyJ6z7CL._AC_SX679_.jpg" TargetMode="External"/><Relationship Id="rId171" Type="http://schemas.openxmlformats.org/officeDocument/2006/relationships/hyperlink" Target="https://m.media-amazon.com/images/I/619sQ2rE4mL._AC_SL1500_.jpg" TargetMode="External"/><Relationship Id="rId192" Type="http://schemas.openxmlformats.org/officeDocument/2006/relationships/hyperlink" Target="https://m.media-amazon.com/images/I/31rW-VrvodL._SS64_.jpg" TargetMode="External"/><Relationship Id="rId206" Type="http://schemas.openxmlformats.org/officeDocument/2006/relationships/hyperlink" Target="https://m.media-amazon.com/images/I/21E2C91WHrL._SS64_.jpg" TargetMode="External"/><Relationship Id="rId12" Type="http://schemas.openxmlformats.org/officeDocument/2006/relationships/hyperlink" Target="https://m.media-amazon.com/images/I/61eQRHX+22L._AC_SL1500_.jpg" TargetMode="External"/><Relationship Id="rId33" Type="http://schemas.openxmlformats.org/officeDocument/2006/relationships/hyperlink" Target="https://m.media-amazon.com/images/I/61eQRHX+22L._AC_SL1500_.jpg" TargetMode="External"/><Relationship Id="rId108" Type="http://schemas.openxmlformats.org/officeDocument/2006/relationships/hyperlink" Target="https://m.media-amazon.com/images/I/51V-pP3R1KL._AC_SL1500_.jpg" TargetMode="External"/><Relationship Id="rId129" Type="http://schemas.openxmlformats.org/officeDocument/2006/relationships/hyperlink" Target="https://m.media-amazon.com/images/I/6148-O7kftL._AC_SX679_.jpg" TargetMode="External"/><Relationship Id="rId54" Type="http://schemas.openxmlformats.org/officeDocument/2006/relationships/hyperlink" Target="https://m.media-amazon.com/images/I/71SJku6iztL._AC_SX679_.jpg" TargetMode="External"/><Relationship Id="rId75" Type="http://schemas.openxmlformats.org/officeDocument/2006/relationships/hyperlink" Target="https://m.media-amazon.com/images/I/71SJku6iztL._AC_SX679_.jpg" TargetMode="External"/><Relationship Id="rId96" Type="http://schemas.openxmlformats.org/officeDocument/2006/relationships/hyperlink" Target="https://m.media-amazon.com/images/I/51km1EjdUjL._AC_SX679_.jpg" TargetMode="External"/><Relationship Id="rId140" Type="http://schemas.openxmlformats.org/officeDocument/2006/relationships/hyperlink" Target="https://m.media-amazon.com/images/I/61tBs-Q98lL._AC_SX679_.jpg" TargetMode="External"/><Relationship Id="rId161" Type="http://schemas.openxmlformats.org/officeDocument/2006/relationships/hyperlink" Target="https://m.media-amazon.com/images/I/61ZSm0g57jL._AC_SX679_.jpg" TargetMode="External"/><Relationship Id="rId182" Type="http://schemas.openxmlformats.org/officeDocument/2006/relationships/hyperlink" Target="https://m.media-amazon.com/images/I/21wjSXBD6NL._SS64_.jpg" TargetMode="External"/><Relationship Id="rId217" Type="http://schemas.openxmlformats.org/officeDocument/2006/relationships/comments" Target="../comments1.xml"/><Relationship Id="rId6" Type="http://schemas.openxmlformats.org/officeDocument/2006/relationships/hyperlink" Target="https://m.media-amazon.com/images/I/61eQRHX+22L._AC_SL1500_.jpg" TargetMode="External"/><Relationship Id="rId23" Type="http://schemas.openxmlformats.org/officeDocument/2006/relationships/hyperlink" Target="https://m.media-amazon.com/images/I/61eQRHX+22L._AC_SL1500_.jpg" TargetMode="External"/><Relationship Id="rId119" Type="http://schemas.openxmlformats.org/officeDocument/2006/relationships/hyperlink" Target="https://m.media-amazon.com/images/I/61PxuCZMixL._AC_SX679_.jpg" TargetMode="External"/><Relationship Id="rId44" Type="http://schemas.openxmlformats.org/officeDocument/2006/relationships/hyperlink" Target="https://m.media-amazon.com/images/I/71SJku6iztL._AC_SX679_.jpg" TargetMode="External"/><Relationship Id="rId65" Type="http://schemas.openxmlformats.org/officeDocument/2006/relationships/hyperlink" Target="https://m.media-amazon.com/images/I/71SJku6iztL._AC_SX679_.jpg" TargetMode="External"/><Relationship Id="rId86" Type="http://schemas.openxmlformats.org/officeDocument/2006/relationships/hyperlink" Target="https://m.media-amazon.com/images/I/61CMyLmHc8L._AC_SL1500_.jpg" TargetMode="External"/><Relationship Id="rId130" Type="http://schemas.openxmlformats.org/officeDocument/2006/relationships/hyperlink" Target="https://m.media-amazon.com/images/I/61PxuCZMixL._AC_SX679_.jpg" TargetMode="External"/><Relationship Id="rId151" Type="http://schemas.openxmlformats.org/officeDocument/2006/relationships/hyperlink" Target="https://m.media-amazon.com/images/I/61AYKA+aCYL._AC_SX679_.jpg" TargetMode="External"/><Relationship Id="rId172" Type="http://schemas.openxmlformats.org/officeDocument/2006/relationships/hyperlink" Target="https://m.media-amazon.com/images/I/619sQ2rE4mL._AC_SL1500_.jpg" TargetMode="External"/><Relationship Id="rId193" Type="http://schemas.openxmlformats.org/officeDocument/2006/relationships/hyperlink" Target="https://m.media-amazon.com/images/I/31rW-VrvodL._SS64_.jpg" TargetMode="External"/><Relationship Id="rId207" Type="http://schemas.openxmlformats.org/officeDocument/2006/relationships/hyperlink" Target="https://m.media-amazon.com/images/I/211OPtWe3vL._SS64_.jpg" TargetMode="External"/><Relationship Id="rId13" Type="http://schemas.openxmlformats.org/officeDocument/2006/relationships/hyperlink" Target="https://m.media-amazon.com/images/I/61eQRHX+22L._AC_SL1500_.jpg" TargetMode="External"/><Relationship Id="rId109" Type="http://schemas.openxmlformats.org/officeDocument/2006/relationships/hyperlink" Target="https://m.media-amazon.com/images/I/51V-pP3R1KL._AC_SL1500_.jpg" TargetMode="External"/><Relationship Id="rId34" Type="http://schemas.openxmlformats.org/officeDocument/2006/relationships/hyperlink" Target="https://m.media-amazon.com/images/I/61eQRHX+22L._AC_SL1500_.jpg" TargetMode="External"/><Relationship Id="rId55" Type="http://schemas.openxmlformats.org/officeDocument/2006/relationships/hyperlink" Target="https://m.media-amazon.com/images/I/71SJku6iztL._AC_SX679_.jpg" TargetMode="External"/><Relationship Id="rId76" Type="http://schemas.openxmlformats.org/officeDocument/2006/relationships/hyperlink" Target="https://m.media-amazon.com/images/I/51GcTR-fuYL._AC_SX679_.jpg" TargetMode="External"/><Relationship Id="rId97" Type="http://schemas.openxmlformats.org/officeDocument/2006/relationships/hyperlink" Target="https://m.media-amazon.com/images/I/51km1EjdUjL._AC_SX679_.jpg" TargetMode="External"/><Relationship Id="rId120" Type="http://schemas.openxmlformats.org/officeDocument/2006/relationships/hyperlink" Target="https://m.media-amazon.com/images/I/61ZSm0g57jL._AC_SX679_.jpg" TargetMode="External"/><Relationship Id="rId141" Type="http://schemas.openxmlformats.org/officeDocument/2006/relationships/hyperlink" Target="https://m.media-amazon.com/images/I/61tBs-Q98lL._AC_SX679_.jpg" TargetMode="External"/><Relationship Id="rId7" Type="http://schemas.openxmlformats.org/officeDocument/2006/relationships/hyperlink" Target="https://m.media-amazon.com/images/I/61eQRHX+22L._AC_SL1500_.jpg" TargetMode="External"/><Relationship Id="rId162" Type="http://schemas.openxmlformats.org/officeDocument/2006/relationships/hyperlink" Target="https://m.media-amazon.com/images/I/61ZSm0g57jL._AC_SX679_.jpg" TargetMode="External"/><Relationship Id="rId183" Type="http://schemas.openxmlformats.org/officeDocument/2006/relationships/hyperlink" Target="https://m.media-amazon.com/images/I/21+XzVSAjHL._SS64_.jpg" TargetMode="External"/><Relationship Id="rId24" Type="http://schemas.openxmlformats.org/officeDocument/2006/relationships/hyperlink" Target="https://m.media-amazon.com/images/I/61eQRHX+22L._AC_SL1500_.jpg" TargetMode="External"/><Relationship Id="rId45" Type="http://schemas.openxmlformats.org/officeDocument/2006/relationships/hyperlink" Target="https://m.media-amazon.com/images/I/71SJku6iztL._AC_SX679_.jpg" TargetMode="External"/><Relationship Id="rId66" Type="http://schemas.openxmlformats.org/officeDocument/2006/relationships/hyperlink" Target="https://m.media-amazon.com/images/I/71SJku6iztL._AC_SX679_.jpg" TargetMode="External"/><Relationship Id="rId87" Type="http://schemas.openxmlformats.org/officeDocument/2006/relationships/hyperlink" Target="https://m.media-amazon.com/images/I/61CMyLmHc8L._AC_SL1500_.jpg" TargetMode="External"/><Relationship Id="rId110" Type="http://schemas.openxmlformats.org/officeDocument/2006/relationships/hyperlink" Target="https://m.media-amazon.com/images/I/61PxuCZMixL._AC_SX679_.jpg" TargetMode="External"/><Relationship Id="rId131" Type="http://schemas.openxmlformats.org/officeDocument/2006/relationships/hyperlink" Target="https://m.media-amazon.com/images/I/61PxuCZMixL._AC_SX679_.jpg" TargetMode="External"/><Relationship Id="rId152" Type="http://schemas.openxmlformats.org/officeDocument/2006/relationships/hyperlink" Target="https://m.media-amazon.com/images/I/61AYKA+aCYL._AC_SX679_.jpg" TargetMode="External"/><Relationship Id="rId173" Type="http://schemas.openxmlformats.org/officeDocument/2006/relationships/hyperlink" Target="https://m.media-amazon.com/images/I/617wImyePcL._AC_SX679_.jpg" TargetMode="External"/><Relationship Id="rId194" Type="http://schemas.openxmlformats.org/officeDocument/2006/relationships/hyperlink" Target="https://m.media-amazon.com/images/I/31rW-VrvodL._SS64_.jpg" TargetMode="External"/><Relationship Id="rId208" Type="http://schemas.openxmlformats.org/officeDocument/2006/relationships/hyperlink" Target="https://m.media-amazon.com/images/I/211OPtWe3vL._SS64_.jpg" TargetMode="External"/><Relationship Id="rId14" Type="http://schemas.openxmlformats.org/officeDocument/2006/relationships/hyperlink" Target="https://m.media-amazon.com/images/I/61eQRHX+22L._AC_SL1500_.jpg" TargetMode="External"/><Relationship Id="rId30" Type="http://schemas.openxmlformats.org/officeDocument/2006/relationships/hyperlink" Target="https://m.media-amazon.com/images/I/61eQRHX+22L._AC_SL1500_.jpg" TargetMode="External"/><Relationship Id="rId35" Type="http://schemas.openxmlformats.org/officeDocument/2006/relationships/hyperlink" Target="https://m.media-amazon.com/images/I/61eQRHX+22L._AC_SL1500_.jpg" TargetMode="External"/><Relationship Id="rId56" Type="http://schemas.openxmlformats.org/officeDocument/2006/relationships/hyperlink" Target="https://m.media-amazon.com/images/I/71SJku6iztL._AC_SX679_.jpg" TargetMode="External"/><Relationship Id="rId77" Type="http://schemas.openxmlformats.org/officeDocument/2006/relationships/hyperlink" Target="https://m.media-amazon.com/images/I/51DSEUFI0jL._AC_SX679_.jpg" TargetMode="External"/><Relationship Id="rId100" Type="http://schemas.openxmlformats.org/officeDocument/2006/relationships/hyperlink" Target="https://m.media-amazon.com/images/I/61iCtoL3qlL._AC_SX679_.jpg" TargetMode="External"/><Relationship Id="rId105" Type="http://schemas.openxmlformats.org/officeDocument/2006/relationships/hyperlink" Target="https://m.media-amazon.com/images/I/61rxWOWLdvL._AC_SX679_.jpg" TargetMode="External"/><Relationship Id="rId126" Type="http://schemas.openxmlformats.org/officeDocument/2006/relationships/hyperlink" Target="https://m.media-amazon.com/images/I/61AYKA+aCYL._AC_SX679_.jpg" TargetMode="External"/><Relationship Id="rId147" Type="http://schemas.openxmlformats.org/officeDocument/2006/relationships/hyperlink" Target="https://m.media-amazon.com/images/I/617wImyePcL._AC_SX679_.jpg" TargetMode="External"/><Relationship Id="rId168" Type="http://schemas.openxmlformats.org/officeDocument/2006/relationships/hyperlink" Target="https://m.media-amazon.com/images/I/61tBs-Q98lL._AC_SX679_.jpg" TargetMode="External"/><Relationship Id="rId8" Type="http://schemas.openxmlformats.org/officeDocument/2006/relationships/hyperlink" Target="https://m.media-amazon.com/images/I/61eQRHX+22L._AC_SL1500_.jpg" TargetMode="External"/><Relationship Id="rId51" Type="http://schemas.openxmlformats.org/officeDocument/2006/relationships/hyperlink" Target="https://m.media-amazon.com/images/I/71SJku6iztL._AC_SX679_.jpg" TargetMode="External"/><Relationship Id="rId72" Type="http://schemas.openxmlformats.org/officeDocument/2006/relationships/hyperlink" Target="https://m.media-amazon.com/images/I/71SJku6iztL._AC_SX679_.jpg" TargetMode="External"/><Relationship Id="rId93" Type="http://schemas.openxmlformats.org/officeDocument/2006/relationships/hyperlink" Target="https://m.media-amazon.com/images/I/51DSEUFI0jL._AC_SX679_.jpg" TargetMode="External"/><Relationship Id="rId98" Type="http://schemas.openxmlformats.org/officeDocument/2006/relationships/hyperlink" Target="https://m.media-amazon.com/images/I/61iCtoL3qlL._AC_SX679_.jpg" TargetMode="External"/><Relationship Id="rId121" Type="http://schemas.openxmlformats.org/officeDocument/2006/relationships/hyperlink" Target="https://m.media-amazon.com/images/I/61757xwJqWL._AC_SX679_.jpg" TargetMode="External"/><Relationship Id="rId142" Type="http://schemas.openxmlformats.org/officeDocument/2006/relationships/hyperlink" Target="https://m.media-amazon.com/images/I/619sQ2rE4mL._AC_SL1500_.jpg" TargetMode="External"/><Relationship Id="rId163" Type="http://schemas.openxmlformats.org/officeDocument/2006/relationships/hyperlink" Target="https://m.media-amazon.com/images/I/61ZSm0g57jL._AC_SX679_.jpg" TargetMode="External"/><Relationship Id="rId184" Type="http://schemas.openxmlformats.org/officeDocument/2006/relationships/hyperlink" Target="https://m.media-amazon.com/images/I/21ftve6llML._SS64_.jpg" TargetMode="External"/><Relationship Id="rId189" Type="http://schemas.openxmlformats.org/officeDocument/2006/relationships/hyperlink" Target="https://m.media-amazon.com/images/I/219wvc8zrtL._SS64_.jpg" TargetMode="External"/><Relationship Id="rId3" Type="http://schemas.openxmlformats.org/officeDocument/2006/relationships/hyperlink" Target="https://m.media-amazon.com/images/I/219wvc8zrtL._SS64_.jpg" TargetMode="External"/><Relationship Id="rId214" Type="http://schemas.openxmlformats.org/officeDocument/2006/relationships/hyperlink" Target="https://m.media-amazon.com/images/I/21gv1atqjSL._SS64_.jpg" TargetMode="External"/><Relationship Id="rId25" Type="http://schemas.openxmlformats.org/officeDocument/2006/relationships/hyperlink" Target="https://m.media-amazon.com/images/I/61eQRHX+22L._AC_SL1500_.jpg" TargetMode="External"/><Relationship Id="rId46" Type="http://schemas.openxmlformats.org/officeDocument/2006/relationships/hyperlink" Target="https://m.media-amazon.com/images/I/71SJku6iztL._AC_SX679_.jpg" TargetMode="External"/><Relationship Id="rId67" Type="http://schemas.openxmlformats.org/officeDocument/2006/relationships/hyperlink" Target="https://m.media-amazon.com/images/I/71SJku6iztL._AC_SX679_.jpg" TargetMode="External"/><Relationship Id="rId116" Type="http://schemas.openxmlformats.org/officeDocument/2006/relationships/hyperlink" Target="https://m.media-amazon.com/images/I/61UHyJ6z7CL._AC_SX679_.jpg" TargetMode="External"/><Relationship Id="rId137" Type="http://schemas.openxmlformats.org/officeDocument/2006/relationships/hyperlink" Target="https://m.media-amazon.com/images/I/61757xwJqWL._AC_SX679_.jpg" TargetMode="External"/><Relationship Id="rId158" Type="http://schemas.openxmlformats.org/officeDocument/2006/relationships/hyperlink" Target="https://m.media-amazon.com/images/I/61PxuCZMixL._AC_SX679_.jpg" TargetMode="External"/><Relationship Id="rId20" Type="http://schemas.openxmlformats.org/officeDocument/2006/relationships/hyperlink" Target="https://m.media-amazon.com/images/I/61eQRHX+22L._AC_SL1500_.jpg" TargetMode="External"/><Relationship Id="rId41" Type="http://schemas.openxmlformats.org/officeDocument/2006/relationships/hyperlink" Target="https://m.media-amazon.com/images/I/71SJku6iztL._AC_SX679_.jpg" TargetMode="External"/><Relationship Id="rId62" Type="http://schemas.openxmlformats.org/officeDocument/2006/relationships/hyperlink" Target="https://m.media-amazon.com/images/I/71SJku6iztL._AC_SX679_.jpg" TargetMode="External"/><Relationship Id="rId83" Type="http://schemas.openxmlformats.org/officeDocument/2006/relationships/hyperlink" Target="https://m.media-amazon.com/images/I/51J5tLCidBL._AC_SX679_.jpg" TargetMode="External"/><Relationship Id="rId88" Type="http://schemas.openxmlformats.org/officeDocument/2006/relationships/hyperlink" Target="https://m.media-amazon.com/images/I/61CMyLmHc8L._AC_SL1500_.jpg" TargetMode="External"/><Relationship Id="rId111" Type="http://schemas.openxmlformats.org/officeDocument/2006/relationships/hyperlink" Target="https://m.media-amazon.com/images/I/61ZSm0g57jL._AC_SX679_.jpg" TargetMode="External"/><Relationship Id="rId132" Type="http://schemas.openxmlformats.org/officeDocument/2006/relationships/hyperlink" Target="https://m.media-amazon.com/images/I/61PxuCZMixL._AC_SX679_.jpg" TargetMode="External"/><Relationship Id="rId153" Type="http://schemas.openxmlformats.org/officeDocument/2006/relationships/hyperlink" Target="https://m.media-amazon.com/images/I/61AYKA+aCYL._AC_SX679_.jpg" TargetMode="External"/><Relationship Id="rId174" Type="http://schemas.openxmlformats.org/officeDocument/2006/relationships/hyperlink" Target="https://m.media-amazon.com/images/I/617wImyePcL._AC_SX679_.jpg" TargetMode="External"/><Relationship Id="rId179" Type="http://schemas.openxmlformats.org/officeDocument/2006/relationships/hyperlink" Target="https://m.media-amazon.com/images/I/61AYKA+aCYL._AC_SX679_.jpg" TargetMode="External"/><Relationship Id="rId195" Type="http://schemas.openxmlformats.org/officeDocument/2006/relationships/hyperlink" Target="https://m.media-amazon.com/images/I/21wjSXBD6NL._SS64_.jpg" TargetMode="External"/><Relationship Id="rId209" Type="http://schemas.openxmlformats.org/officeDocument/2006/relationships/hyperlink" Target="https://m.media-amazon.com/images/I/211OPtWe3vL._SS64_.jpg" TargetMode="External"/><Relationship Id="rId190" Type="http://schemas.openxmlformats.org/officeDocument/2006/relationships/hyperlink" Target="https://m.media-amazon.com/images/I/219wvc8zrtL._SS64_.jpg" TargetMode="External"/><Relationship Id="rId204" Type="http://schemas.openxmlformats.org/officeDocument/2006/relationships/hyperlink" Target="https://m.media-amazon.com/images/I/21E2C91WHrL._SS64_.jpg" TargetMode="External"/><Relationship Id="rId15" Type="http://schemas.openxmlformats.org/officeDocument/2006/relationships/hyperlink" Target="https://m.media-amazon.com/images/I/61eQRHX+22L._AC_SL1500_.jpg" TargetMode="External"/><Relationship Id="rId36" Type="http://schemas.openxmlformats.org/officeDocument/2006/relationships/hyperlink" Target="https://m.media-amazon.com/images/I/61eQRHX+22L._AC_SL1500_.jpg" TargetMode="External"/><Relationship Id="rId57" Type="http://schemas.openxmlformats.org/officeDocument/2006/relationships/hyperlink" Target="https://m.media-amazon.com/images/I/71SJku6iztL._AC_SX679_.jpg" TargetMode="External"/><Relationship Id="rId106" Type="http://schemas.openxmlformats.org/officeDocument/2006/relationships/hyperlink" Target="https://m.media-amazon.com/images/I/61rxWOWLdvL._AC_SX679_.jpg" TargetMode="External"/><Relationship Id="rId127" Type="http://schemas.openxmlformats.org/officeDocument/2006/relationships/hyperlink" Target="https://m.media-amazon.com/images/I/6148-O7kftL._AC_SX679_.jpg" TargetMode="External"/><Relationship Id="rId10" Type="http://schemas.openxmlformats.org/officeDocument/2006/relationships/hyperlink" Target="https://m.media-amazon.com/images/I/61eQRHX+22L._AC_SL1500_.jpg" TargetMode="External"/><Relationship Id="rId31" Type="http://schemas.openxmlformats.org/officeDocument/2006/relationships/hyperlink" Target="https://m.media-amazon.com/images/I/61eQRHX+22L._AC_SL1500_.jpg" TargetMode="External"/><Relationship Id="rId52" Type="http://schemas.openxmlformats.org/officeDocument/2006/relationships/hyperlink" Target="https://m.media-amazon.com/images/I/71SJku6iztL._AC_SX679_.jpg" TargetMode="External"/><Relationship Id="rId73" Type="http://schemas.openxmlformats.org/officeDocument/2006/relationships/hyperlink" Target="https://m.media-amazon.com/images/I/71SJku6iztL._AC_SX679_.jpg" TargetMode="External"/><Relationship Id="rId78" Type="http://schemas.openxmlformats.org/officeDocument/2006/relationships/hyperlink" Target="https://m.media-amazon.com/images/I/51km1EjdUjL._AC_SX679_.jpg" TargetMode="External"/><Relationship Id="rId94" Type="http://schemas.openxmlformats.org/officeDocument/2006/relationships/hyperlink" Target="https://m.media-amazon.com/images/I/51DSEUFI0jL._AC_SX679_.jpg" TargetMode="External"/><Relationship Id="rId99" Type="http://schemas.openxmlformats.org/officeDocument/2006/relationships/hyperlink" Target="https://m.media-amazon.com/images/I/61iCtoL3qlL._AC_SX679_.jpg" TargetMode="External"/><Relationship Id="rId101" Type="http://schemas.openxmlformats.org/officeDocument/2006/relationships/hyperlink" Target="https://m.media-amazon.com/images/I/71nB8cyCCpL._AC_SL1500_.jpg" TargetMode="External"/><Relationship Id="rId122" Type="http://schemas.openxmlformats.org/officeDocument/2006/relationships/hyperlink" Target="https://m.media-amazon.com/images/I/61tBs-Q98lL._AC_SX679_.jpg" TargetMode="External"/><Relationship Id="rId143" Type="http://schemas.openxmlformats.org/officeDocument/2006/relationships/hyperlink" Target="https://m.media-amazon.com/images/I/619sQ2rE4mL._AC_SL1500_.jpg" TargetMode="External"/><Relationship Id="rId148" Type="http://schemas.openxmlformats.org/officeDocument/2006/relationships/hyperlink" Target="https://m.media-amazon.com/images/I/61UHyJ6z7CL._AC_SX679_.jpg" TargetMode="External"/><Relationship Id="rId164" Type="http://schemas.openxmlformats.org/officeDocument/2006/relationships/hyperlink" Target="https://m.media-amazon.com/images/I/61757xwJqWL._AC_SX679_.jpg" TargetMode="External"/><Relationship Id="rId169" Type="http://schemas.openxmlformats.org/officeDocument/2006/relationships/hyperlink" Target="https://m.media-amazon.com/images/I/61tBs-Q98lL._AC_SX679_.jpg" TargetMode="External"/><Relationship Id="rId185" Type="http://schemas.openxmlformats.org/officeDocument/2006/relationships/hyperlink" Target="https://m.media-amazon.com/images/I/21E2C91WHrL._SS64_.jpg" TargetMode="External"/><Relationship Id="rId4" Type="http://schemas.openxmlformats.org/officeDocument/2006/relationships/hyperlink" Target="https://m.media-amazon.com/images/I/61CMyLmHc8L._AC_SL1500_.jpg" TargetMode="External"/><Relationship Id="rId9" Type="http://schemas.openxmlformats.org/officeDocument/2006/relationships/hyperlink" Target="https://m.media-amazon.com/images/I/61eQRHX+22L._AC_SL1500_.jpg" TargetMode="External"/><Relationship Id="rId180" Type="http://schemas.openxmlformats.org/officeDocument/2006/relationships/hyperlink" Target="https://m.media-amazon.com/images/I/61AYKA+aCYL._AC_SX679_.jpg" TargetMode="External"/><Relationship Id="rId210" Type="http://schemas.openxmlformats.org/officeDocument/2006/relationships/hyperlink" Target="https://m.media-amazon.com/images/I/21VelAb+XrL._SS64_.jpg" TargetMode="External"/><Relationship Id="rId215" Type="http://schemas.openxmlformats.org/officeDocument/2006/relationships/hyperlink" Target="https://m.media-amazon.com/images/I/21gv1atqjSL._SS64_.jpg" TargetMode="External"/><Relationship Id="rId26" Type="http://schemas.openxmlformats.org/officeDocument/2006/relationships/hyperlink" Target="https://m.media-amazon.com/images/I/61eQRHX+22L._AC_SL1500_.jpg" TargetMode="External"/><Relationship Id="rId47" Type="http://schemas.openxmlformats.org/officeDocument/2006/relationships/hyperlink" Target="https://m.media-amazon.com/images/I/71SJku6iztL._AC_SX679_.jpg" TargetMode="External"/><Relationship Id="rId68" Type="http://schemas.openxmlformats.org/officeDocument/2006/relationships/hyperlink" Target="https://m.media-amazon.com/images/I/71SJku6iztL._AC_SX679_.jpg" TargetMode="External"/><Relationship Id="rId89" Type="http://schemas.openxmlformats.org/officeDocument/2006/relationships/hyperlink" Target="https://m.media-amazon.com/images/I/51GcTR-fuYL._AC_SX679_.jpg" TargetMode="External"/><Relationship Id="rId112" Type="http://schemas.openxmlformats.org/officeDocument/2006/relationships/hyperlink" Target="https://m.media-amazon.com/images/I/61757xwJqWL._AC_SX679_.jpg" TargetMode="External"/><Relationship Id="rId133" Type="http://schemas.openxmlformats.org/officeDocument/2006/relationships/hyperlink" Target="https://m.media-amazon.com/images/I/61ZSm0g57jL._AC_SX679_.jpg" TargetMode="External"/><Relationship Id="rId154" Type="http://schemas.openxmlformats.org/officeDocument/2006/relationships/hyperlink" Target="https://m.media-amazon.com/images/I/31rW-VrvodL._SS64_.jpg" TargetMode="External"/><Relationship Id="rId175" Type="http://schemas.openxmlformats.org/officeDocument/2006/relationships/hyperlink" Target="https://m.media-amazon.com/images/I/617wImyePcL._AC_SX679_.jpg" TargetMode="External"/><Relationship Id="rId196" Type="http://schemas.openxmlformats.org/officeDocument/2006/relationships/hyperlink" Target="https://m.media-amazon.com/images/I/21wjSXBD6NL._SS64_.jpg" TargetMode="External"/><Relationship Id="rId200" Type="http://schemas.openxmlformats.org/officeDocument/2006/relationships/hyperlink" Target="https://m.media-amazon.com/images/I/21+XzVSAjHL._SS64_.jpg" TargetMode="External"/><Relationship Id="rId16" Type="http://schemas.openxmlformats.org/officeDocument/2006/relationships/hyperlink" Target="https://m.media-amazon.com/images/I/61eQRHX+22L._AC_SL1500_.jpg" TargetMode="External"/><Relationship Id="rId37" Type="http://schemas.openxmlformats.org/officeDocument/2006/relationships/hyperlink" Target="https://m.media-amazon.com/images/I/61eQRHX+22L._AC_SL1500_.jpg" TargetMode="External"/><Relationship Id="rId58" Type="http://schemas.openxmlformats.org/officeDocument/2006/relationships/hyperlink" Target="https://m.media-amazon.com/images/I/71SJku6iztL._AC_SX679_.jpg" TargetMode="External"/><Relationship Id="rId79" Type="http://schemas.openxmlformats.org/officeDocument/2006/relationships/hyperlink" Target="https://m.media-amazon.com/images/I/61iCtoL3qlL._AC_SX679_.jpg" TargetMode="External"/><Relationship Id="rId102" Type="http://schemas.openxmlformats.org/officeDocument/2006/relationships/hyperlink" Target="https://m.media-amazon.com/images/I/71nB8cyCCpL._AC_SL1500_.jpg" TargetMode="External"/><Relationship Id="rId123" Type="http://schemas.openxmlformats.org/officeDocument/2006/relationships/hyperlink" Target="https://m.media-amazon.com/images/I/619sQ2rE4mL._AC_SL1500_.jpg" TargetMode="External"/><Relationship Id="rId144" Type="http://schemas.openxmlformats.org/officeDocument/2006/relationships/hyperlink" Target="https://m.media-amazon.com/images/I/619sQ2rE4mL._AC_SL1500_.jpg" TargetMode="External"/><Relationship Id="rId90" Type="http://schemas.openxmlformats.org/officeDocument/2006/relationships/hyperlink" Target="https://m.media-amazon.com/images/I/51GcTR-fuYL._AC_SX679_.jpg" TargetMode="External"/><Relationship Id="rId165" Type="http://schemas.openxmlformats.org/officeDocument/2006/relationships/hyperlink" Target="https://m.media-amazon.com/images/I/61757xwJqWL._AC_SX679_.jpg" TargetMode="External"/><Relationship Id="rId186" Type="http://schemas.openxmlformats.org/officeDocument/2006/relationships/hyperlink" Target="https://m.media-amazon.com/images/I/211OPtWe3vL._SS64_.jpg" TargetMode="External"/><Relationship Id="rId211" Type="http://schemas.openxmlformats.org/officeDocument/2006/relationships/hyperlink" Target="https://m.media-amazon.com/images/I/21VelAb+XrL._SS64_.jpg" TargetMode="External"/><Relationship Id="rId27" Type="http://schemas.openxmlformats.org/officeDocument/2006/relationships/hyperlink" Target="https://m.media-amazon.com/images/I/61eQRHX+22L._AC_SL1500_.jpg" TargetMode="External"/><Relationship Id="rId48" Type="http://schemas.openxmlformats.org/officeDocument/2006/relationships/hyperlink" Target="https://m.media-amazon.com/images/I/71SJku6iztL._AC_SX679_.jpg" TargetMode="External"/><Relationship Id="rId69" Type="http://schemas.openxmlformats.org/officeDocument/2006/relationships/hyperlink" Target="https://m.media-amazon.com/images/I/71SJku6iztL._AC_SX679_.jpg" TargetMode="External"/><Relationship Id="rId113" Type="http://schemas.openxmlformats.org/officeDocument/2006/relationships/hyperlink" Target="https://m.media-amazon.com/images/I/61tBs-Q98lL._AC_SX679_.jpg" TargetMode="External"/><Relationship Id="rId134" Type="http://schemas.openxmlformats.org/officeDocument/2006/relationships/hyperlink" Target="https://m.media-amazon.com/images/I/61ZSm0g57jL._AC_SX679_.jpg" TargetMode="External"/><Relationship Id="rId80" Type="http://schemas.openxmlformats.org/officeDocument/2006/relationships/hyperlink" Target="https://m.media-amazon.com/images/I/71nB8cyCCpL._AC_SL1500_.jpg" TargetMode="External"/><Relationship Id="rId155" Type="http://schemas.openxmlformats.org/officeDocument/2006/relationships/hyperlink" Target="https://m.media-amazon.com/images/I/6148-O7kftL._AC_SX679_.jpg" TargetMode="External"/><Relationship Id="rId176" Type="http://schemas.openxmlformats.org/officeDocument/2006/relationships/hyperlink" Target="https://m.media-amazon.com/images/I/61UHyJ6z7CL._AC_SX679_.jpg" TargetMode="External"/><Relationship Id="rId197" Type="http://schemas.openxmlformats.org/officeDocument/2006/relationships/hyperlink" Target="https://m.media-amazon.com/images/I/21wjSXBD6NL._SS64_.jpg" TargetMode="External"/><Relationship Id="rId201" Type="http://schemas.openxmlformats.org/officeDocument/2006/relationships/hyperlink" Target="https://m.media-amazon.com/images/I/21ftve6llML._SS64_.jpg" TargetMode="External"/><Relationship Id="rId17" Type="http://schemas.openxmlformats.org/officeDocument/2006/relationships/hyperlink" Target="https://m.media-amazon.com/images/I/61eQRHX+22L._AC_SL1500_.jpg" TargetMode="External"/><Relationship Id="rId38" Type="http://schemas.openxmlformats.org/officeDocument/2006/relationships/hyperlink" Target="https://m.media-amazon.com/images/I/61eQRHX+22L._AC_SL1500_.jpg" TargetMode="External"/><Relationship Id="rId59" Type="http://schemas.openxmlformats.org/officeDocument/2006/relationships/hyperlink" Target="https://m.media-amazon.com/images/I/71SJku6iztL._AC_SX679_.jpg" TargetMode="External"/><Relationship Id="rId103" Type="http://schemas.openxmlformats.org/officeDocument/2006/relationships/hyperlink" Target="https://m.media-amazon.com/images/I/71nB8cyCCpL._AC_SL1500_.jpg" TargetMode="External"/><Relationship Id="rId124" Type="http://schemas.openxmlformats.org/officeDocument/2006/relationships/hyperlink" Target="https://m.media-amazon.com/images/I/617wImyePcL._AC_SX679_.jpg" TargetMode="External"/><Relationship Id="rId70" Type="http://schemas.openxmlformats.org/officeDocument/2006/relationships/hyperlink" Target="https://m.media-amazon.com/images/I/71SJku6iztL._AC_SX679_.jpg" TargetMode="External"/><Relationship Id="rId91" Type="http://schemas.openxmlformats.org/officeDocument/2006/relationships/hyperlink" Target="https://m.media-amazon.com/images/I/51GcTR-fuYL._AC_SX679_.jpg" TargetMode="External"/><Relationship Id="rId145" Type="http://schemas.openxmlformats.org/officeDocument/2006/relationships/hyperlink" Target="https://m.media-amazon.com/images/I/617wImyePcL._AC_SX679_.jpg" TargetMode="External"/><Relationship Id="rId166" Type="http://schemas.openxmlformats.org/officeDocument/2006/relationships/hyperlink" Target="https://m.media-amazon.com/images/I/61757xwJqWL._AC_SX679_.jpg" TargetMode="External"/><Relationship Id="rId187" Type="http://schemas.openxmlformats.org/officeDocument/2006/relationships/hyperlink" Target="https://m.media-amazon.com/images/I/21VelAb+XrL._SS64_.jpg" TargetMode="External"/><Relationship Id="rId1" Type="http://schemas.openxmlformats.org/officeDocument/2006/relationships/hyperlink" Target="https://m.media-amazon.com/images/I/51J5tLCidBL._AC_SX679_.jpg" TargetMode="External"/><Relationship Id="rId212" Type="http://schemas.openxmlformats.org/officeDocument/2006/relationships/hyperlink" Target="https://m.media-amazon.com/images/I/21VelAb+XrL._SS64_.jpg" TargetMode="External"/><Relationship Id="rId28" Type="http://schemas.openxmlformats.org/officeDocument/2006/relationships/hyperlink" Target="https://m.media-amazon.com/images/I/61eQRHX+22L._AC_SL1500_.jpg" TargetMode="External"/><Relationship Id="rId49" Type="http://schemas.openxmlformats.org/officeDocument/2006/relationships/hyperlink" Target="https://m.media-amazon.com/images/I/71SJku6iztL._AC_SX679_.jpg" TargetMode="External"/><Relationship Id="rId114" Type="http://schemas.openxmlformats.org/officeDocument/2006/relationships/hyperlink" Target="https://m.media-amazon.com/images/I/619sQ2rE4mL._AC_SL1500_.jpg" TargetMode="External"/><Relationship Id="rId60" Type="http://schemas.openxmlformats.org/officeDocument/2006/relationships/hyperlink" Target="https://m.media-amazon.com/images/I/71SJku6iztL._AC_SX679_.jpg" TargetMode="External"/><Relationship Id="rId81" Type="http://schemas.openxmlformats.org/officeDocument/2006/relationships/hyperlink" Target="https://m.media-amazon.com/images/I/61rxWOWLdvL._AC_SX679_.jpg" TargetMode="External"/><Relationship Id="rId135" Type="http://schemas.openxmlformats.org/officeDocument/2006/relationships/hyperlink" Target="https://m.media-amazon.com/images/I/61ZSm0g57jL._AC_SX679_.jpg" TargetMode="External"/><Relationship Id="rId156" Type="http://schemas.openxmlformats.org/officeDocument/2006/relationships/hyperlink" Target="https://m.media-amazon.com/images/I/6148-O7kftL._AC_SX679_.jpg" TargetMode="External"/><Relationship Id="rId177" Type="http://schemas.openxmlformats.org/officeDocument/2006/relationships/hyperlink" Target="https://m.media-amazon.com/images/I/61UHyJ6z7CL._AC_SX679_.jpg" TargetMode="External"/><Relationship Id="rId198" Type="http://schemas.openxmlformats.org/officeDocument/2006/relationships/hyperlink" Target="https://m.media-amazon.com/images/I/21+XzVSAjHL._SS64_.jpg" TargetMode="External"/><Relationship Id="rId202" Type="http://schemas.openxmlformats.org/officeDocument/2006/relationships/hyperlink" Target="https://m.media-amazon.com/images/I/21ftve6llML._SS64_.jpg" TargetMode="External"/><Relationship Id="rId18" Type="http://schemas.openxmlformats.org/officeDocument/2006/relationships/hyperlink" Target="https://m.media-amazon.com/images/I/61eQRHX+22L._AC_SL1500_.jpg" TargetMode="External"/><Relationship Id="rId39" Type="http://schemas.openxmlformats.org/officeDocument/2006/relationships/hyperlink" Target="https://m.media-amazon.com/images/I/6148-O7kftL._AC_SX679_.jpg" TargetMode="External"/><Relationship Id="rId50" Type="http://schemas.openxmlformats.org/officeDocument/2006/relationships/hyperlink" Target="https://m.media-amazon.com/images/I/71SJku6iztL._AC_SX679_.jpg" TargetMode="External"/><Relationship Id="rId104" Type="http://schemas.openxmlformats.org/officeDocument/2006/relationships/hyperlink" Target="https://m.media-amazon.com/images/I/61rxWOWLdvL._AC_SX679_.jpg" TargetMode="External"/><Relationship Id="rId125" Type="http://schemas.openxmlformats.org/officeDocument/2006/relationships/hyperlink" Target="https://m.media-amazon.com/images/I/61UHyJ6z7CL._AC_SX679_.jpg" TargetMode="External"/><Relationship Id="rId146" Type="http://schemas.openxmlformats.org/officeDocument/2006/relationships/hyperlink" Target="https://m.media-amazon.com/images/I/617wImyePcL._AC_SX679_.jpg" TargetMode="External"/><Relationship Id="rId167" Type="http://schemas.openxmlformats.org/officeDocument/2006/relationships/hyperlink" Target="https://m.media-amazon.com/images/I/61tBs-Q98lL._AC_SX679_.jpg" TargetMode="External"/><Relationship Id="rId188" Type="http://schemas.openxmlformats.org/officeDocument/2006/relationships/hyperlink" Target="https://m.media-amazon.com/images/I/21gv1atqjSL._SS64_.jpg" TargetMode="External"/><Relationship Id="rId71" Type="http://schemas.openxmlformats.org/officeDocument/2006/relationships/hyperlink" Target="https://m.media-amazon.com/images/I/71SJku6iztL._AC_SX679_.jpg" TargetMode="External"/><Relationship Id="rId92" Type="http://schemas.openxmlformats.org/officeDocument/2006/relationships/hyperlink" Target="https://m.media-amazon.com/images/I/51DSEUFI0jL._AC_SX679_.jpg" TargetMode="External"/><Relationship Id="rId213" Type="http://schemas.openxmlformats.org/officeDocument/2006/relationships/hyperlink" Target="https://m.media-amazon.com/images/I/21gv1atqjSL._SS64_.jpg" TargetMode="External"/><Relationship Id="rId2" Type="http://schemas.openxmlformats.org/officeDocument/2006/relationships/hyperlink" Target="https://m.media-amazon.com/images/I/61eQRHX+22L._AC_SL1500_.jpg" TargetMode="External"/><Relationship Id="rId29" Type="http://schemas.openxmlformats.org/officeDocument/2006/relationships/hyperlink" Target="https://m.media-amazon.com/images/I/61eQRHX+22L._AC_SL1500_.jpg" TargetMode="External"/><Relationship Id="rId40" Type="http://schemas.openxmlformats.org/officeDocument/2006/relationships/hyperlink" Target="https://m.media-amazon.com/images/I/71SJku6iztL._AC_SX679_.jpg" TargetMode="External"/><Relationship Id="rId115" Type="http://schemas.openxmlformats.org/officeDocument/2006/relationships/hyperlink" Target="https://m.media-amazon.com/images/I/617wImyePcL._AC_SX679_.jpg" TargetMode="External"/><Relationship Id="rId136" Type="http://schemas.openxmlformats.org/officeDocument/2006/relationships/hyperlink" Target="https://m.media-amazon.com/images/I/61757xwJqWL._AC_SX679_.jpg" TargetMode="External"/><Relationship Id="rId157" Type="http://schemas.openxmlformats.org/officeDocument/2006/relationships/hyperlink" Target="https://m.media-amazon.com/images/I/6148-O7kftL._AC_SX679_.jpg" TargetMode="External"/><Relationship Id="rId178" Type="http://schemas.openxmlformats.org/officeDocument/2006/relationships/hyperlink" Target="https://m.media-amazon.com/images/I/61UHyJ6z7CL._AC_SX679_.jpg" TargetMode="External"/><Relationship Id="rId61" Type="http://schemas.openxmlformats.org/officeDocument/2006/relationships/hyperlink" Target="https://m.media-amazon.com/images/I/71SJku6iztL._AC_SX679_.jpg" TargetMode="External"/><Relationship Id="rId82" Type="http://schemas.openxmlformats.org/officeDocument/2006/relationships/hyperlink" Target="https://m.media-amazon.com/images/I/51V-pP3R1KL._AC_SL1500_.jpg" TargetMode="External"/><Relationship Id="rId199" Type="http://schemas.openxmlformats.org/officeDocument/2006/relationships/hyperlink" Target="https://m.media-amazon.com/images/I/21+XzVSAjHL._SS64_.jpg" TargetMode="External"/><Relationship Id="rId203" Type="http://schemas.openxmlformats.org/officeDocument/2006/relationships/hyperlink" Target="https://m.media-amazon.com/images/I/21ftve6llML._SS64_.jpg" TargetMode="External"/><Relationship Id="rId19" Type="http://schemas.openxmlformats.org/officeDocument/2006/relationships/hyperlink" Target="https://m.media-amazon.com/images/I/61eQRHX+22L._AC_SL1500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77"/>
  <sheetViews>
    <sheetView tabSelected="1" topLeftCell="BN1" workbookViewId="0">
      <pane ySplit="3" topLeftCell="A13" activePane="bottomLeft" state="frozen"/>
      <selection pane="bottomLeft" activeCell="BO28" sqref="BO28"/>
    </sheetView>
  </sheetViews>
  <sheetFormatPr baseColWidth="10" defaultColWidth="16" defaultRowHeight="15" customHeight="1" outlineLevelCol="1" x14ac:dyDescent="0.25"/>
  <cols>
    <col min="1" max="1" width="14" customWidth="1"/>
    <col min="2" max="3" width="20" customWidth="1"/>
    <col min="4" max="4" width="13" customWidth="1"/>
    <col min="5" max="5" width="18" customWidth="1"/>
    <col min="6" max="6" width="12" customWidth="1"/>
    <col min="7" max="7" width="18" customWidth="1"/>
    <col min="8" max="8" width="16" customWidth="1"/>
    <col min="9" max="10" width="22" customWidth="1"/>
    <col min="11" max="12" width="14" customWidth="1"/>
    <col min="13" max="14" width="13" customWidth="1"/>
    <col min="15" max="19" width="40" customWidth="1"/>
    <col min="20" max="20" width="28" customWidth="1"/>
    <col min="21" max="23" width="16" customWidth="1"/>
    <col min="24" max="24" width="14" customWidth="1"/>
    <col min="25" max="32" width="16" customWidth="1"/>
    <col min="33" max="34" width="12" customWidth="1"/>
    <col min="35" max="35" width="22" customWidth="1" outlineLevel="1" collapsed="1"/>
    <col min="36" max="36" width="34" customWidth="1" outlineLevel="1" collapsed="1"/>
    <col min="37" max="37" width="22" customWidth="1" outlineLevel="1" collapsed="1"/>
    <col min="38" max="38" width="34" customWidth="1" outlineLevel="1" collapsed="1"/>
    <col min="39" max="39" width="22" customWidth="1" outlineLevel="1" collapsed="1"/>
    <col min="40" max="40" width="34" customWidth="1" outlineLevel="1" collapsed="1"/>
    <col min="41" max="41" width="22" customWidth="1" outlineLevel="1" collapsed="1"/>
    <col min="42" max="42" width="34" customWidth="1" outlineLevel="1" collapsed="1"/>
    <col min="43" max="43" width="22" customWidth="1" outlineLevel="1" collapsed="1"/>
    <col min="44" max="44" width="34" customWidth="1" outlineLevel="1" collapsed="1"/>
    <col min="45" max="45" width="22" customWidth="1" outlineLevel="1" collapsed="1"/>
    <col min="46" max="46" width="34" customWidth="1" outlineLevel="1" collapsed="1"/>
    <col min="47" max="47" width="22" customWidth="1" outlineLevel="1" collapsed="1"/>
    <col min="48" max="48" width="34" customWidth="1" outlineLevel="1" collapsed="1"/>
    <col min="49" max="49" width="22" customWidth="1" outlineLevel="1" collapsed="1"/>
    <col min="50" max="50" width="34" customWidth="1" outlineLevel="1" collapsed="1"/>
    <col min="51" max="51" width="22" customWidth="1" outlineLevel="1" collapsed="1"/>
    <col min="52" max="52" width="34" customWidth="1" outlineLevel="1" collapsed="1"/>
    <col min="53" max="53" width="22" customWidth="1" outlineLevel="1" collapsed="1"/>
    <col min="54" max="54" width="34" customWidth="1" outlineLevel="1" collapsed="1"/>
    <col min="55" max="55" width="22" customWidth="1" outlineLevel="1" collapsed="1"/>
    <col min="56" max="56" width="34" customWidth="1" outlineLevel="1" collapsed="1"/>
    <col min="57" max="57" width="22" customWidth="1" outlineLevel="1" collapsed="1"/>
    <col min="58" max="58" width="34" customWidth="1" outlineLevel="1" collapsed="1"/>
    <col min="59" max="59" width="22" customWidth="1" outlineLevel="1" collapsed="1"/>
    <col min="60" max="60" width="34" customWidth="1" outlineLevel="1" collapsed="1"/>
    <col min="61" max="61" width="22" customWidth="1" outlineLevel="1" collapsed="1"/>
    <col min="62" max="62" width="34" customWidth="1" outlineLevel="1" collapsed="1"/>
    <col min="63" max="63" width="22" customWidth="1" outlineLevel="1" collapsed="1"/>
    <col min="64" max="64" width="34" customWidth="1" outlineLevel="1" collapsed="1"/>
    <col min="65" max="65" width="36" customWidth="1" outlineLevel="1" collapsed="1"/>
    <col min="66" max="66" width="50" customWidth="1" outlineLevel="1" collapsed="1"/>
    <col min="67" max="67" width="56.85546875" bestFit="1" customWidth="1" outlineLevel="1" collapsed="1"/>
    <col min="68" max="69" width="36" customWidth="1" outlineLevel="1" collapsed="1"/>
    <col min="70" max="70" width="43.85546875" bestFit="1" customWidth="1" outlineLevel="1" collapsed="1"/>
    <col min="71" max="71" width="50" customWidth="1" outlineLevel="1" collapsed="1"/>
    <col min="72" max="72" width="56" bestFit="1" customWidth="1" outlineLevel="1" collapsed="1"/>
    <col min="73" max="73" width="51.85546875" bestFit="1" customWidth="1" outlineLevel="1" collapsed="1"/>
    <col min="74" max="75" width="36" customWidth="1" outlineLevel="1" collapsed="1"/>
    <col min="76" max="76" width="50" customWidth="1" outlineLevel="1" collapsed="1"/>
    <col min="77" max="78" width="36" customWidth="1" outlineLevel="1" collapsed="1"/>
    <col min="79" max="79" width="54.5703125" bestFit="1" customWidth="1" outlineLevel="1" collapsed="1"/>
    <col min="80" max="80" width="36" customWidth="1" outlineLevel="1" collapsed="1"/>
    <col min="81" max="81" width="50" customWidth="1" outlineLevel="1" collapsed="1"/>
    <col min="82" max="85" width="36" customWidth="1" outlineLevel="1" collapsed="1"/>
    <col min="86" max="86" width="50" customWidth="1" outlineLevel="1" collapsed="1"/>
    <col min="87" max="90" width="36" customWidth="1" outlineLevel="1" collapsed="1"/>
    <col min="91" max="91" width="50" customWidth="1" outlineLevel="1" collapsed="1"/>
    <col min="92" max="94" width="36" customWidth="1" outlineLevel="1" collapsed="1"/>
    <col min="95" max="95" width="20" customWidth="1" outlineLevel="1" collapsed="1"/>
    <col min="96" max="97" width="18" customWidth="1" outlineLevel="1" collapsed="1"/>
    <col min="98" max="98" width="20" customWidth="1" outlineLevel="1" collapsed="1"/>
    <col min="99" max="100" width="18" customWidth="1" outlineLevel="1" collapsed="1"/>
    <col min="101" max="101" width="20" customWidth="1" outlineLevel="1" collapsed="1"/>
    <col min="102" max="103" width="18" customWidth="1" outlineLevel="1" collapsed="1"/>
    <col min="104" max="104" width="20" customWidth="1" outlineLevel="1" collapsed="1"/>
    <col min="105" max="106" width="18" customWidth="1" outlineLevel="1" collapsed="1"/>
    <col min="107" max="107" width="20" customWidth="1" outlineLevel="1" collapsed="1"/>
    <col min="108" max="109" width="18" customWidth="1" outlineLevel="1" collapsed="1"/>
    <col min="110" max="110" width="20" customWidth="1" outlineLevel="1" collapsed="1"/>
    <col min="111" max="112" width="18" customWidth="1" outlineLevel="1" collapsed="1"/>
    <col min="113" max="113" width="20" customWidth="1" outlineLevel="1" collapsed="1"/>
    <col min="114" max="115" width="18" customWidth="1" outlineLevel="1" collapsed="1"/>
    <col min="116" max="116" width="20" customWidth="1" outlineLevel="1" collapsed="1"/>
    <col min="117" max="118" width="18" customWidth="1" outlineLevel="1" collapsed="1"/>
    <col min="119" max="119" width="36" customWidth="1" outlineLevel="1" collapsed="1"/>
    <col min="120" max="120" width="60" customWidth="1" outlineLevel="1" collapsed="1"/>
    <col min="121" max="121" width="36" customWidth="1" outlineLevel="1" collapsed="1"/>
  </cols>
  <sheetData>
    <row r="1" spans="1:121" ht="20.100000000000001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3" t="s">
        <v>1</v>
      </c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4" t="s">
        <v>2</v>
      </c>
      <c r="BN1" s="14"/>
      <c r="BO1" s="14"/>
      <c r="BP1" s="14"/>
      <c r="BQ1" s="14"/>
      <c r="BR1" s="14" t="s">
        <v>3</v>
      </c>
      <c r="BS1" s="14"/>
      <c r="BT1" s="14"/>
      <c r="BU1" s="14"/>
      <c r="BV1" s="14"/>
      <c r="BW1" s="14" t="s">
        <v>4</v>
      </c>
      <c r="BX1" s="14"/>
      <c r="BY1" s="14"/>
      <c r="BZ1" s="14"/>
      <c r="CA1" s="14"/>
      <c r="CB1" s="14" t="s">
        <v>5</v>
      </c>
      <c r="CC1" s="14"/>
      <c r="CD1" s="14"/>
      <c r="CE1" s="14"/>
      <c r="CF1" s="14"/>
      <c r="CG1" s="14" t="s">
        <v>6</v>
      </c>
      <c r="CH1" s="14"/>
      <c r="CI1" s="14"/>
      <c r="CJ1" s="14"/>
      <c r="CK1" s="14"/>
      <c r="CL1" s="14" t="s">
        <v>7</v>
      </c>
      <c r="CM1" s="14"/>
      <c r="CN1" s="14"/>
      <c r="CO1" s="14"/>
      <c r="CP1" s="14"/>
      <c r="CQ1" s="15" t="s">
        <v>8</v>
      </c>
      <c r="CR1" s="15"/>
      <c r="CS1" s="15"/>
      <c r="CT1" s="15" t="s">
        <v>9</v>
      </c>
      <c r="CU1" s="15"/>
      <c r="CV1" s="15"/>
      <c r="CW1" s="15" t="s">
        <v>10</v>
      </c>
      <c r="CX1" s="15"/>
      <c r="CY1" s="15"/>
      <c r="CZ1" s="15" t="s">
        <v>11</v>
      </c>
      <c r="DA1" s="15"/>
      <c r="DB1" s="15"/>
      <c r="DC1" s="15" t="s">
        <v>12</v>
      </c>
      <c r="DD1" s="15"/>
      <c r="DE1" s="15"/>
      <c r="DF1" s="15" t="s">
        <v>13</v>
      </c>
      <c r="DG1" s="15"/>
      <c r="DH1" s="15"/>
      <c r="DI1" s="15" t="s">
        <v>14</v>
      </c>
      <c r="DJ1" s="15"/>
      <c r="DK1" s="15"/>
      <c r="DL1" s="15" t="s">
        <v>15</v>
      </c>
      <c r="DM1" s="15"/>
      <c r="DN1" s="15"/>
      <c r="DO1" s="16" t="s">
        <v>16</v>
      </c>
      <c r="DP1" s="16"/>
      <c r="DQ1" s="16"/>
    </row>
    <row r="2" spans="1:121" ht="27.95" customHeight="1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 t="s">
        <v>35</v>
      </c>
      <c r="T2" s="1" t="s">
        <v>36</v>
      </c>
      <c r="U2" s="1" t="s">
        <v>37</v>
      </c>
      <c r="V2" s="1" t="s">
        <v>38</v>
      </c>
      <c r="W2" s="1" t="s">
        <v>39</v>
      </c>
      <c r="X2" s="1" t="s">
        <v>40</v>
      </c>
      <c r="Y2" s="1" t="s">
        <v>41</v>
      </c>
      <c r="Z2" s="1" t="s">
        <v>42</v>
      </c>
      <c r="AA2" s="1" t="s">
        <v>43</v>
      </c>
      <c r="AB2" s="1" t="s">
        <v>44</v>
      </c>
      <c r="AC2" s="1" t="s">
        <v>45</v>
      </c>
      <c r="AD2" s="1" t="s">
        <v>46</v>
      </c>
      <c r="AE2" s="1" t="s">
        <v>47</v>
      </c>
      <c r="AF2" s="1" t="s">
        <v>48</v>
      </c>
      <c r="AG2" s="1" t="s">
        <v>49</v>
      </c>
      <c r="AH2" s="1" t="s">
        <v>50</v>
      </c>
      <c r="AI2" s="2" t="s">
        <v>51</v>
      </c>
      <c r="AJ2" s="2" t="s">
        <v>52</v>
      </c>
      <c r="AK2" s="2" t="s">
        <v>53</v>
      </c>
      <c r="AL2" s="2" t="s">
        <v>54</v>
      </c>
      <c r="AM2" s="2" t="s">
        <v>55</v>
      </c>
      <c r="AN2" s="2" t="s">
        <v>56</v>
      </c>
      <c r="AO2" s="2" t="s">
        <v>57</v>
      </c>
      <c r="AP2" s="2" t="s">
        <v>58</v>
      </c>
      <c r="AQ2" s="2" t="s">
        <v>59</v>
      </c>
      <c r="AR2" s="2" t="s">
        <v>60</v>
      </c>
      <c r="AS2" s="2" t="s">
        <v>61</v>
      </c>
      <c r="AT2" s="2" t="s">
        <v>62</v>
      </c>
      <c r="AU2" s="2" t="s">
        <v>63</v>
      </c>
      <c r="AV2" s="2" t="s">
        <v>64</v>
      </c>
      <c r="AW2" s="2" t="s">
        <v>65</v>
      </c>
      <c r="AX2" s="2" t="s">
        <v>66</v>
      </c>
      <c r="AY2" s="2" t="s">
        <v>67</v>
      </c>
      <c r="AZ2" s="2" t="s">
        <v>68</v>
      </c>
      <c r="BA2" s="2" t="s">
        <v>69</v>
      </c>
      <c r="BB2" s="2" t="s">
        <v>70</v>
      </c>
      <c r="BC2" s="2" t="s">
        <v>71</v>
      </c>
      <c r="BD2" s="2" t="s">
        <v>72</v>
      </c>
      <c r="BE2" s="2" t="s">
        <v>73</v>
      </c>
      <c r="BF2" s="2" t="s">
        <v>74</v>
      </c>
      <c r="BG2" s="2" t="s">
        <v>75</v>
      </c>
      <c r="BH2" s="2" t="s">
        <v>76</v>
      </c>
      <c r="BI2" s="2" t="s">
        <v>77</v>
      </c>
      <c r="BJ2" s="2" t="s">
        <v>78</v>
      </c>
      <c r="BK2" s="2" t="s">
        <v>79</v>
      </c>
      <c r="BL2" s="2" t="s">
        <v>80</v>
      </c>
      <c r="BM2" s="3" t="s">
        <v>81</v>
      </c>
      <c r="BN2" s="3" t="s">
        <v>82</v>
      </c>
      <c r="BO2" s="3" t="s">
        <v>83</v>
      </c>
      <c r="BP2" s="3" t="s">
        <v>84</v>
      </c>
      <c r="BQ2" s="3" t="s">
        <v>85</v>
      </c>
      <c r="BR2" s="3" t="s">
        <v>86</v>
      </c>
      <c r="BS2" s="3" t="s">
        <v>87</v>
      </c>
      <c r="BT2" s="3" t="s">
        <v>88</v>
      </c>
      <c r="BU2" s="3" t="s">
        <v>89</v>
      </c>
      <c r="BV2" s="3" t="s">
        <v>90</v>
      </c>
      <c r="BW2" s="3" t="s">
        <v>91</v>
      </c>
      <c r="BX2" s="3" t="s">
        <v>92</v>
      </c>
      <c r="BY2" s="3" t="s">
        <v>93</v>
      </c>
      <c r="BZ2" s="3" t="s">
        <v>94</v>
      </c>
      <c r="CA2" s="3" t="s">
        <v>95</v>
      </c>
      <c r="CB2" s="3" t="s">
        <v>96</v>
      </c>
      <c r="CC2" s="3" t="s">
        <v>97</v>
      </c>
      <c r="CD2" s="3" t="s">
        <v>98</v>
      </c>
      <c r="CE2" s="3" t="s">
        <v>99</v>
      </c>
      <c r="CF2" s="3" t="s">
        <v>100</v>
      </c>
      <c r="CG2" s="3" t="s">
        <v>101</v>
      </c>
      <c r="CH2" s="3" t="s">
        <v>102</v>
      </c>
      <c r="CI2" s="3" t="s">
        <v>103</v>
      </c>
      <c r="CJ2" s="3" t="s">
        <v>104</v>
      </c>
      <c r="CK2" s="3" t="s">
        <v>105</v>
      </c>
      <c r="CL2" s="3" t="s">
        <v>106</v>
      </c>
      <c r="CM2" s="3" t="s">
        <v>107</v>
      </c>
      <c r="CN2" s="3" t="s">
        <v>108</v>
      </c>
      <c r="CO2" s="3" t="s">
        <v>109</v>
      </c>
      <c r="CP2" s="3" t="s">
        <v>110</v>
      </c>
      <c r="CQ2" s="4" t="s">
        <v>111</v>
      </c>
      <c r="CR2" s="4" t="s">
        <v>112</v>
      </c>
      <c r="CS2" s="4" t="s">
        <v>113</v>
      </c>
      <c r="CT2" s="4" t="s">
        <v>114</v>
      </c>
      <c r="CU2" s="4" t="s">
        <v>115</v>
      </c>
      <c r="CV2" s="4" t="s">
        <v>116</v>
      </c>
      <c r="CW2" s="4" t="s">
        <v>117</v>
      </c>
      <c r="CX2" s="4" t="s">
        <v>118</v>
      </c>
      <c r="CY2" s="4" t="s">
        <v>119</v>
      </c>
      <c r="CZ2" s="4" t="s">
        <v>120</v>
      </c>
      <c r="DA2" s="4" t="s">
        <v>121</v>
      </c>
      <c r="DB2" s="4" t="s">
        <v>122</v>
      </c>
      <c r="DC2" s="4" t="s">
        <v>123</v>
      </c>
      <c r="DD2" s="4" t="s">
        <v>124</v>
      </c>
      <c r="DE2" s="4" t="s">
        <v>125</v>
      </c>
      <c r="DF2" s="4" t="s">
        <v>126</v>
      </c>
      <c r="DG2" s="4" t="s">
        <v>127</v>
      </c>
      <c r="DH2" s="4" t="s">
        <v>128</v>
      </c>
      <c r="DI2" s="4" t="s">
        <v>129</v>
      </c>
      <c r="DJ2" s="4" t="s">
        <v>130</v>
      </c>
      <c r="DK2" s="4" t="s">
        <v>131</v>
      </c>
      <c r="DL2" s="4" t="s">
        <v>132</v>
      </c>
      <c r="DM2" s="4" t="s">
        <v>133</v>
      </c>
      <c r="DN2" s="4" t="s">
        <v>134</v>
      </c>
      <c r="DO2" s="5" t="s">
        <v>135</v>
      </c>
      <c r="DP2" s="5" t="s">
        <v>136</v>
      </c>
      <c r="DQ2" s="5" t="s">
        <v>137</v>
      </c>
    </row>
    <row r="3" spans="1:121" ht="20.100000000000001" customHeight="1" x14ac:dyDescent="0.25">
      <c r="A3" s="6" t="s">
        <v>138</v>
      </c>
      <c r="B3" s="6" t="s">
        <v>139</v>
      </c>
      <c r="C3" s="6" t="s">
        <v>140</v>
      </c>
      <c r="D3" s="6" t="s">
        <v>141</v>
      </c>
      <c r="E3" s="6" t="s">
        <v>142</v>
      </c>
      <c r="F3" s="6" t="s">
        <v>143</v>
      </c>
      <c r="G3" s="6" t="s">
        <v>144</v>
      </c>
      <c r="H3" s="6" t="s">
        <v>145</v>
      </c>
      <c r="I3" s="6" t="s">
        <v>146</v>
      </c>
      <c r="J3" s="6" t="s">
        <v>147</v>
      </c>
      <c r="K3" s="6" t="s">
        <v>148</v>
      </c>
      <c r="L3" s="6" t="s">
        <v>149</v>
      </c>
      <c r="M3" s="6" t="s">
        <v>150</v>
      </c>
      <c r="N3" s="6" t="s">
        <v>151</v>
      </c>
      <c r="O3" s="6" t="s">
        <v>152</v>
      </c>
      <c r="P3" s="6" t="s">
        <v>153</v>
      </c>
      <c r="Q3" s="6" t="s">
        <v>154</v>
      </c>
      <c r="R3" s="6" t="s">
        <v>155</v>
      </c>
      <c r="S3" s="6" t="s">
        <v>156</v>
      </c>
      <c r="T3" s="6" t="s">
        <v>157</v>
      </c>
      <c r="U3" s="6" t="s">
        <v>158</v>
      </c>
      <c r="V3" s="6" t="s">
        <v>159</v>
      </c>
      <c r="W3" s="6" t="s">
        <v>160</v>
      </c>
      <c r="X3" s="6" t="s">
        <v>161</v>
      </c>
      <c r="Y3" s="6" t="s">
        <v>162</v>
      </c>
      <c r="Z3" s="6" t="s">
        <v>163</v>
      </c>
      <c r="AA3" s="6" t="s">
        <v>162</v>
      </c>
      <c r="AB3" s="6" t="s">
        <v>164</v>
      </c>
      <c r="AC3" s="6" t="s">
        <v>162</v>
      </c>
      <c r="AD3" s="6" t="s">
        <v>165</v>
      </c>
      <c r="AE3" s="6" t="s">
        <v>162</v>
      </c>
      <c r="AF3" s="6" t="s">
        <v>166</v>
      </c>
      <c r="AG3" s="6" t="s">
        <v>167</v>
      </c>
      <c r="AH3" s="6" t="s">
        <v>168</v>
      </c>
      <c r="AI3" s="6" t="s">
        <v>169</v>
      </c>
      <c r="AJ3" s="6" t="s">
        <v>170</v>
      </c>
      <c r="AK3" s="6" t="s">
        <v>171</v>
      </c>
      <c r="AL3" s="6" t="s">
        <v>172</v>
      </c>
      <c r="AM3" s="6" t="s">
        <v>173</v>
      </c>
      <c r="AN3" s="6" t="s">
        <v>174</v>
      </c>
      <c r="AO3" s="6" t="s">
        <v>175</v>
      </c>
      <c r="AP3" s="6" t="s">
        <v>176</v>
      </c>
      <c r="AQ3" s="6" t="s">
        <v>177</v>
      </c>
      <c r="AR3" s="6" t="s">
        <v>178</v>
      </c>
      <c r="AS3" s="6" t="s">
        <v>179</v>
      </c>
      <c r="AT3" s="6" t="s">
        <v>180</v>
      </c>
      <c r="AU3" s="6" t="s">
        <v>181</v>
      </c>
      <c r="AV3" s="6" t="s">
        <v>182</v>
      </c>
      <c r="AW3" s="6" t="s">
        <v>183</v>
      </c>
      <c r="AX3" s="6" t="s">
        <v>184</v>
      </c>
      <c r="AY3" s="6" t="s">
        <v>185</v>
      </c>
      <c r="AZ3" s="6" t="s">
        <v>186</v>
      </c>
      <c r="BA3" s="6" t="s">
        <v>187</v>
      </c>
      <c r="BB3" s="6" t="s">
        <v>188</v>
      </c>
      <c r="BC3" s="6" t="s">
        <v>189</v>
      </c>
      <c r="BD3" s="6" t="s">
        <v>190</v>
      </c>
      <c r="BE3" s="6" t="s">
        <v>191</v>
      </c>
      <c r="BF3" s="6" t="s">
        <v>192</v>
      </c>
      <c r="BG3" s="6" t="s">
        <v>193</v>
      </c>
      <c r="BH3" s="6" t="s">
        <v>194</v>
      </c>
      <c r="BI3" s="6" t="s">
        <v>195</v>
      </c>
      <c r="BJ3" s="6" t="s">
        <v>196</v>
      </c>
      <c r="BK3" s="6" t="s">
        <v>197</v>
      </c>
      <c r="BL3" s="6" t="s">
        <v>198</v>
      </c>
      <c r="BM3" s="6" t="s">
        <v>199</v>
      </c>
      <c r="BN3" s="6" t="s">
        <v>200</v>
      </c>
      <c r="BO3" s="6" t="s">
        <v>201</v>
      </c>
      <c r="BP3" s="6" t="s">
        <v>202</v>
      </c>
      <c r="BQ3" s="6" t="s">
        <v>203</v>
      </c>
      <c r="BR3" s="6" t="s">
        <v>204</v>
      </c>
      <c r="BS3" s="6" t="s">
        <v>205</v>
      </c>
      <c r="BT3" s="6" t="s">
        <v>201</v>
      </c>
      <c r="BU3" s="6" t="s">
        <v>202</v>
      </c>
      <c r="BV3" s="6" t="s">
        <v>203</v>
      </c>
      <c r="BW3" s="6" t="s">
        <v>206</v>
      </c>
      <c r="BX3" s="6" t="s">
        <v>207</v>
      </c>
      <c r="BY3" s="6" t="s">
        <v>201</v>
      </c>
      <c r="BZ3" s="6" t="s">
        <v>202</v>
      </c>
      <c r="CA3" s="6" t="s">
        <v>203</v>
      </c>
      <c r="CB3" s="6" t="s">
        <v>208</v>
      </c>
      <c r="CC3" s="6" t="s">
        <v>209</v>
      </c>
      <c r="CD3" s="6" t="s">
        <v>201</v>
      </c>
      <c r="CE3" s="6" t="s">
        <v>202</v>
      </c>
      <c r="CF3" s="6" t="s">
        <v>203</v>
      </c>
      <c r="CG3" s="6" t="s">
        <v>210</v>
      </c>
      <c r="CH3" s="6" t="s">
        <v>211</v>
      </c>
      <c r="CI3" s="6" t="s">
        <v>201</v>
      </c>
      <c r="CJ3" s="6" t="s">
        <v>202</v>
      </c>
      <c r="CK3" s="6" t="s">
        <v>203</v>
      </c>
      <c r="CL3" s="6" t="s">
        <v>212</v>
      </c>
      <c r="CM3" s="6" t="s">
        <v>213</v>
      </c>
      <c r="CN3" s="6" t="s">
        <v>201</v>
      </c>
      <c r="CO3" s="6" t="s">
        <v>202</v>
      </c>
      <c r="CP3" s="6" t="s">
        <v>203</v>
      </c>
      <c r="CQ3" s="6" t="s">
        <v>214</v>
      </c>
      <c r="CR3" s="6" t="s">
        <v>215</v>
      </c>
      <c r="CS3" s="6" t="s">
        <v>216</v>
      </c>
      <c r="CT3" s="6" t="s">
        <v>217</v>
      </c>
      <c r="CU3" s="6" t="s">
        <v>215</v>
      </c>
      <c r="CV3" s="6" t="s">
        <v>216</v>
      </c>
      <c r="CW3" s="6" t="s">
        <v>218</v>
      </c>
      <c r="CX3" s="6" t="s">
        <v>215</v>
      </c>
      <c r="CY3" s="6" t="s">
        <v>216</v>
      </c>
      <c r="CZ3" s="6" t="s">
        <v>219</v>
      </c>
      <c r="DA3" s="6" t="s">
        <v>215</v>
      </c>
      <c r="DB3" s="6" t="s">
        <v>216</v>
      </c>
      <c r="DC3" s="6" t="s">
        <v>220</v>
      </c>
      <c r="DD3" s="6" t="s">
        <v>215</v>
      </c>
      <c r="DE3" s="6" t="s">
        <v>216</v>
      </c>
      <c r="DF3" s="6" t="s">
        <v>221</v>
      </c>
      <c r="DG3" s="6" t="s">
        <v>215</v>
      </c>
      <c r="DH3" s="6" t="s">
        <v>216</v>
      </c>
      <c r="DI3" s="6" t="s">
        <v>222</v>
      </c>
      <c r="DJ3" s="6" t="s">
        <v>215</v>
      </c>
      <c r="DK3" s="6" t="s">
        <v>216</v>
      </c>
      <c r="DL3" s="6" t="s">
        <v>223</v>
      </c>
      <c r="DM3" s="6" t="s">
        <v>215</v>
      </c>
      <c r="DN3" s="6" t="s">
        <v>216</v>
      </c>
      <c r="DO3" s="6" t="s">
        <v>224</v>
      </c>
      <c r="DP3" s="6" t="s">
        <v>225</v>
      </c>
      <c r="DQ3" s="6" t="s">
        <v>226</v>
      </c>
    </row>
    <row r="4" spans="1:121" ht="15" customHeight="1" x14ac:dyDescent="0.25">
      <c r="A4" t="s">
        <v>227</v>
      </c>
      <c r="B4" t="s">
        <v>274</v>
      </c>
      <c r="D4" t="s">
        <v>228</v>
      </c>
      <c r="G4" t="s">
        <v>231</v>
      </c>
      <c r="H4" t="s">
        <v>426</v>
      </c>
      <c r="I4" t="s">
        <v>232</v>
      </c>
      <c r="J4" t="s">
        <v>268</v>
      </c>
      <c r="U4" t="s">
        <v>234</v>
      </c>
      <c r="W4" t="s">
        <v>235</v>
      </c>
      <c r="BM4" t="s">
        <v>470</v>
      </c>
      <c r="BN4" t="s">
        <v>470</v>
      </c>
      <c r="BO4" t="s">
        <v>470</v>
      </c>
      <c r="BP4" t="s">
        <v>470</v>
      </c>
      <c r="BQ4" t="s">
        <v>470</v>
      </c>
      <c r="BR4" t="s">
        <v>470</v>
      </c>
      <c r="BS4" t="s">
        <v>470</v>
      </c>
      <c r="BT4" t="s">
        <v>470</v>
      </c>
      <c r="BU4" t="s">
        <v>470</v>
      </c>
      <c r="BV4" t="s">
        <v>470</v>
      </c>
      <c r="BW4" t="s">
        <v>470</v>
      </c>
      <c r="BX4" t="s">
        <v>470</v>
      </c>
      <c r="BY4" t="s">
        <v>470</v>
      </c>
      <c r="BZ4" t="s">
        <v>470</v>
      </c>
      <c r="CA4" t="s">
        <v>470</v>
      </c>
      <c r="CB4" t="s">
        <v>470</v>
      </c>
      <c r="CC4" t="s">
        <v>470</v>
      </c>
      <c r="CD4" t="s">
        <v>470</v>
      </c>
      <c r="CE4" t="s">
        <v>470</v>
      </c>
      <c r="CF4" t="s">
        <v>470</v>
      </c>
      <c r="CG4" t="s">
        <v>470</v>
      </c>
      <c r="CH4" t="s">
        <v>470</v>
      </c>
      <c r="CI4" t="s">
        <v>470</v>
      </c>
      <c r="CJ4" t="s">
        <v>470</v>
      </c>
      <c r="CK4" t="s">
        <v>470</v>
      </c>
      <c r="CL4" t="s">
        <v>470</v>
      </c>
      <c r="CM4" t="s">
        <v>470</v>
      </c>
      <c r="CN4" t="s">
        <v>470</v>
      </c>
      <c r="CO4" t="s">
        <v>470</v>
      </c>
      <c r="CP4" t="s">
        <v>470</v>
      </c>
    </row>
    <row r="5" spans="1:121" ht="15" customHeight="1" x14ac:dyDescent="0.25">
      <c r="A5" t="s">
        <v>236</v>
      </c>
      <c r="B5" t="s">
        <v>285</v>
      </c>
      <c r="C5" t="s">
        <v>274</v>
      </c>
      <c r="D5" t="s">
        <v>228</v>
      </c>
      <c r="E5" s="9" t="s">
        <v>357</v>
      </c>
      <c r="F5">
        <v>50</v>
      </c>
      <c r="K5">
        <v>50</v>
      </c>
      <c r="L5">
        <v>12</v>
      </c>
      <c r="M5">
        <v>3</v>
      </c>
      <c r="N5">
        <v>8</v>
      </c>
      <c r="O5" s="10" t="s">
        <v>427</v>
      </c>
      <c r="P5" s="10" t="s">
        <v>428</v>
      </c>
      <c r="T5" s="10" t="s">
        <v>429</v>
      </c>
      <c r="V5" t="s">
        <v>238</v>
      </c>
      <c r="X5" t="s">
        <v>239</v>
      </c>
      <c r="AG5" t="s">
        <v>266</v>
      </c>
      <c r="AH5">
        <v>200</v>
      </c>
      <c r="AI5" t="s">
        <v>456</v>
      </c>
      <c r="AJ5" t="s">
        <v>457</v>
      </c>
      <c r="AK5" t="s">
        <v>458</v>
      </c>
      <c r="AL5" t="s">
        <v>459</v>
      </c>
      <c r="AM5" t="s">
        <v>460</v>
      </c>
      <c r="AN5" t="s">
        <v>461</v>
      </c>
      <c r="AO5" t="s">
        <v>462</v>
      </c>
      <c r="AP5" t="s">
        <v>463</v>
      </c>
      <c r="BM5" t="str">
        <f t="shared" ref="BM5:BM6" si="0">"1 Tütün tabakasi güzel dokulu falan"&amp;" | "&amp;$V5&amp;" "&amp;$X5&amp;" | "&amp;MID(BM$3,FIND("(",BM$3,1)+1,10)</f>
        <v>1 Tütün tabakasi güzel dokulu falan | Rot S | Deutsch)</v>
      </c>
      <c r="BN5" s="11" t="s">
        <v>464</v>
      </c>
      <c r="BO5" t="str">
        <f t="shared" ref="BO5:BO6" si="1">BM5&amp;"BULLET-1"</f>
        <v>1 Tütün tabakasi güzel dokulu falan | Rot S | Deutsch)BULLET-1</v>
      </c>
      <c r="BP5" t="str">
        <f t="shared" ref="BP5:BP6" si="2">BM5&amp;"BULLET-2"</f>
        <v>1 Tütün tabakasi güzel dokulu falan | Rot S | Deutsch)BULLET-2</v>
      </c>
      <c r="BQ5" t="str">
        <f t="shared" ref="BQ5:BQ6" si="3">BM5&amp;"BULLET-3"</f>
        <v>1 Tütün tabakasi güzel dokulu falan | Rot S | Deutsch)BULLET-3</v>
      </c>
      <c r="BR5" t="str">
        <f t="shared" ref="BR5:BR6" si="4">"1 Tütün tabakasi güzel dokulu falan"&amp;" | "&amp;$V5&amp;" "&amp;$X5&amp;" | "&amp;MID(BR$3,FIND("(",BR$3,1)+1,10)</f>
        <v>1 Tütün tabakasi güzel dokulu falan | Rot S | English)</v>
      </c>
      <c r="BS5" s="11" t="s">
        <v>465</v>
      </c>
      <c r="BT5" t="str">
        <f t="shared" ref="BT5:BT40" si="5">BR5&amp;"BULLET-1"</f>
        <v>1 Tütün tabakasi güzel dokulu falan | Rot S | English)BULLET-1</v>
      </c>
      <c r="BU5" t="str">
        <f t="shared" ref="BU5:BU40" si="6">BR5&amp;"BULLET-2"</f>
        <v>1 Tütün tabakasi güzel dokulu falan | Rot S | English)BULLET-2</v>
      </c>
      <c r="BV5" t="str">
        <f t="shared" ref="BV5:BV40" si="7">BR5&amp;"BULLET-3"</f>
        <v>1 Tütün tabakasi güzel dokulu falan | Rot S | English)BULLET-3</v>
      </c>
      <c r="BW5" t="str">
        <f t="shared" ref="BW5:BW6" si="8">"1 Tütün tabakasi güzel dokulu falan"&amp;" | "&amp;$V5&amp;" "&amp;$X5&amp;" | "&amp;MID(BW$3,FIND("(",BW$3,1)+1,10)</f>
        <v>1 Tütün tabakasi güzel dokulu falan | Rot S | Türkçe)</v>
      </c>
      <c r="BX5" s="11" t="s">
        <v>466</v>
      </c>
      <c r="BY5" t="str">
        <f t="shared" ref="BY5:BY40" si="9">BW5&amp;"BULLET-1"</f>
        <v>1 Tütün tabakasi güzel dokulu falan | Rot S | Türkçe)BULLET-1</v>
      </c>
      <c r="BZ5" t="str">
        <f t="shared" ref="BZ5:BZ40" si="10">BW5&amp;"BULLET-2"</f>
        <v>1 Tütün tabakasi güzel dokulu falan | Rot S | Türkçe)BULLET-2</v>
      </c>
      <c r="CA5" t="str">
        <f t="shared" ref="CA5:CA40" si="11">BW5&amp;"BULLET-3"</f>
        <v>1 Tütün tabakasi güzel dokulu falan | Rot S | Türkçe)BULLET-3</v>
      </c>
      <c r="CB5" t="str">
        <f t="shared" ref="CB5:CB6" si="12">"1 Tütün tabakasi güzel dokulu falan"&amp;" | "&amp;$V5&amp;" "&amp;$X5&amp;" | "&amp;MID(CB$3,FIND("(",CB$3,1)+1,10)</f>
        <v>1 Tütün tabakasi güzel dokulu falan | Rot S | Français)</v>
      </c>
      <c r="CC5" s="11" t="s">
        <v>467</v>
      </c>
      <c r="CD5" t="str">
        <f t="shared" ref="CD5:CD40" si="13">CB5&amp;"BULLET-1"</f>
        <v>1 Tütün tabakasi güzel dokulu falan | Rot S | Français)BULLET-1</v>
      </c>
      <c r="CE5" t="str">
        <f t="shared" ref="CE5:CE40" si="14">CB5&amp;"BULLET-2"</f>
        <v>1 Tütün tabakasi güzel dokulu falan | Rot S | Français)BULLET-2</v>
      </c>
      <c r="CF5" t="str">
        <f t="shared" ref="CF5:CF40" si="15">CB5&amp;"BULLET-3"</f>
        <v>1 Tütün tabakasi güzel dokulu falan | Rot S | Français)BULLET-3</v>
      </c>
      <c r="CG5" t="str">
        <f t="shared" ref="CG5:CG6" si="16">"1 Tütün tabakasi güzel dokulu falan"&amp;" | "&amp;$V5&amp;" "&amp;$X5&amp;" | "&amp;MID(CG$3,FIND("(",CG$3,1)+1,10)</f>
        <v>1 Tütün tabakasi güzel dokulu falan | Rot S | Italiano)</v>
      </c>
      <c r="CH5" s="11" t="s">
        <v>468</v>
      </c>
      <c r="CI5" t="str">
        <f t="shared" ref="CI5:CI40" si="17">CG5&amp;"BULLET-1"</f>
        <v>1 Tütün tabakasi güzel dokulu falan | Rot S | Italiano)BULLET-1</v>
      </c>
      <c r="CJ5" t="str">
        <f t="shared" ref="CJ5:CJ40" si="18">CG5&amp;"BULLET-2"</f>
        <v>1 Tütün tabakasi güzel dokulu falan | Rot S | Italiano)BULLET-2</v>
      </c>
      <c r="CK5" t="str">
        <f t="shared" ref="CK5:CK40" si="19">CG5&amp;"BULLET-3"</f>
        <v>1 Tütün tabakasi güzel dokulu falan | Rot S | Italiano)BULLET-3</v>
      </c>
      <c r="CL5" t="str">
        <f t="shared" ref="CL5:CL6" si="20">"1 Tütün tabakasi güzel dokulu falan"&amp;" | "&amp;$V5&amp;" "&amp;$X5&amp;" | "&amp;MID(CL$3,FIND("(",CL$3,1)+1,10)</f>
        <v>1 Tütün tabakasi güzel dokulu falan | Rot S | Español)</v>
      </c>
      <c r="CM5" s="11" t="s">
        <v>469</v>
      </c>
      <c r="CN5" t="str">
        <f t="shared" ref="CN5:CN40" si="21">CL5&amp;"BULLET-1"</f>
        <v>1 Tütün tabakasi güzel dokulu falan | Rot S | Español)BULLET-1</v>
      </c>
      <c r="CO5" t="str">
        <f t="shared" ref="CO5:CO40" si="22">CL5&amp;"BULLET-2"</f>
        <v>1 Tütün tabakasi güzel dokulu falan | Rot S | Español)BULLET-2</v>
      </c>
      <c r="CP5" t="str">
        <f t="shared" ref="CP5:CP40" si="23">CL5&amp;"BULLET-3"</f>
        <v>1 Tütün tabakasi güzel dokulu falan | Rot S | Español)BULLET-3</v>
      </c>
      <c r="CQ5">
        <v>10</v>
      </c>
      <c r="CS5">
        <v>9</v>
      </c>
      <c r="CT5">
        <v>12</v>
      </c>
      <c r="CW5">
        <v>12</v>
      </c>
      <c r="CZ5">
        <v>14</v>
      </c>
      <c r="DC5">
        <v>16</v>
      </c>
      <c r="DF5">
        <v>18</v>
      </c>
      <c r="DI5">
        <v>650</v>
      </c>
      <c r="DO5" t="str">
        <f>"1SEO1 Tütün tabakasi güzel dokulu falan"&amp;" | "&amp;$V5&amp;" "&amp;$X5</f>
        <v>1SEO1 Tütün tabakasi güzel dokulu falan | Rot S</v>
      </c>
      <c r="DP5" t="str">
        <f>DO5&amp;" DESCRIPTION"</f>
        <v>1SEO1 Tütün tabakasi güzel dokulu falan | Rot S DESCRIPTION</v>
      </c>
      <c r="DQ5" t="str">
        <f>DO5&amp;" KEYWORD"</f>
        <v>1SEO1 Tütün tabakasi güzel dokulu falan | Rot S KEYWORD</v>
      </c>
    </row>
    <row r="6" spans="1:121" ht="15" customHeight="1" x14ac:dyDescent="0.25">
      <c r="A6" t="s">
        <v>236</v>
      </c>
      <c r="B6" t="s">
        <v>286</v>
      </c>
      <c r="C6" t="s">
        <v>274</v>
      </c>
      <c r="D6" t="s">
        <v>228</v>
      </c>
      <c r="E6" s="9" t="s">
        <v>229</v>
      </c>
      <c r="F6">
        <v>50</v>
      </c>
      <c r="K6">
        <f>K5+1</f>
        <v>51</v>
      </c>
      <c r="L6">
        <v>12</v>
      </c>
      <c r="M6">
        <v>3</v>
      </c>
      <c r="N6">
        <v>8</v>
      </c>
      <c r="O6" s="10" t="s">
        <v>430</v>
      </c>
      <c r="P6" s="10" t="s">
        <v>428</v>
      </c>
      <c r="T6" s="10" t="s">
        <v>448</v>
      </c>
      <c r="V6" t="s">
        <v>275</v>
      </c>
      <c r="X6" t="s">
        <v>239</v>
      </c>
      <c r="AG6" t="s">
        <v>266</v>
      </c>
      <c r="AH6">
        <v>200</v>
      </c>
      <c r="AI6" t="s">
        <v>456</v>
      </c>
      <c r="AJ6" t="s">
        <v>457</v>
      </c>
      <c r="AK6" t="s">
        <v>458</v>
      </c>
      <c r="AL6" t="s">
        <v>459</v>
      </c>
      <c r="AM6" t="s">
        <v>460</v>
      </c>
      <c r="AN6" t="s">
        <v>461</v>
      </c>
      <c r="AO6" t="s">
        <v>462</v>
      </c>
      <c r="AP6" t="s">
        <v>463</v>
      </c>
      <c r="BM6" t="str">
        <f t="shared" si="0"/>
        <v>1 Tütün tabakasi güzel dokulu falan | Schwarz S | Deutsch)</v>
      </c>
      <c r="BN6" s="11" t="s">
        <v>464</v>
      </c>
      <c r="BO6" t="str">
        <f t="shared" si="1"/>
        <v>1 Tütün tabakasi güzel dokulu falan | Schwarz S | Deutsch)BULLET-1</v>
      </c>
      <c r="BP6" t="str">
        <f t="shared" si="2"/>
        <v>1 Tütün tabakasi güzel dokulu falan | Schwarz S | Deutsch)BULLET-2</v>
      </c>
      <c r="BQ6" t="str">
        <f t="shared" si="3"/>
        <v>1 Tütün tabakasi güzel dokulu falan | Schwarz S | Deutsch)BULLET-3</v>
      </c>
      <c r="BR6" t="str">
        <f t="shared" si="4"/>
        <v>1 Tütün tabakasi güzel dokulu falan | Schwarz S | English)</v>
      </c>
      <c r="BS6" s="11" t="s">
        <v>465</v>
      </c>
      <c r="BT6" t="str">
        <f t="shared" si="5"/>
        <v>1 Tütün tabakasi güzel dokulu falan | Schwarz S | English)BULLET-1</v>
      </c>
      <c r="BU6" t="str">
        <f t="shared" si="6"/>
        <v>1 Tütün tabakasi güzel dokulu falan | Schwarz S | English)BULLET-2</v>
      </c>
      <c r="BV6" t="str">
        <f t="shared" si="7"/>
        <v>1 Tütün tabakasi güzel dokulu falan | Schwarz S | English)BULLET-3</v>
      </c>
      <c r="BW6" t="str">
        <f t="shared" si="8"/>
        <v>1 Tütün tabakasi güzel dokulu falan | Schwarz S | Türkçe)</v>
      </c>
      <c r="BX6" s="11" t="s">
        <v>466</v>
      </c>
      <c r="BY6" t="str">
        <f t="shared" si="9"/>
        <v>1 Tütün tabakasi güzel dokulu falan | Schwarz S | Türkçe)BULLET-1</v>
      </c>
      <c r="BZ6" t="str">
        <f t="shared" si="10"/>
        <v>1 Tütün tabakasi güzel dokulu falan | Schwarz S | Türkçe)BULLET-2</v>
      </c>
      <c r="CA6" t="str">
        <f t="shared" si="11"/>
        <v>1 Tütün tabakasi güzel dokulu falan | Schwarz S | Türkçe)BULLET-3</v>
      </c>
      <c r="CB6" t="str">
        <f t="shared" si="12"/>
        <v>1 Tütün tabakasi güzel dokulu falan | Schwarz S | Français)</v>
      </c>
      <c r="CC6" s="11" t="s">
        <v>467</v>
      </c>
      <c r="CD6" t="str">
        <f t="shared" si="13"/>
        <v>1 Tütün tabakasi güzel dokulu falan | Schwarz S | Français)BULLET-1</v>
      </c>
      <c r="CE6" t="str">
        <f t="shared" si="14"/>
        <v>1 Tütün tabakasi güzel dokulu falan | Schwarz S | Français)BULLET-2</v>
      </c>
      <c r="CF6" t="str">
        <f t="shared" si="15"/>
        <v>1 Tütün tabakasi güzel dokulu falan | Schwarz S | Français)BULLET-3</v>
      </c>
      <c r="CG6" t="str">
        <f t="shared" si="16"/>
        <v>1 Tütün tabakasi güzel dokulu falan | Schwarz S | Italiano)</v>
      </c>
      <c r="CH6" s="11" t="s">
        <v>468</v>
      </c>
      <c r="CI6" t="str">
        <f t="shared" si="17"/>
        <v>1 Tütün tabakasi güzel dokulu falan | Schwarz S | Italiano)BULLET-1</v>
      </c>
      <c r="CJ6" t="str">
        <f t="shared" si="18"/>
        <v>1 Tütün tabakasi güzel dokulu falan | Schwarz S | Italiano)BULLET-2</v>
      </c>
      <c r="CK6" t="str">
        <f t="shared" si="19"/>
        <v>1 Tütün tabakasi güzel dokulu falan | Schwarz S | Italiano)BULLET-3</v>
      </c>
      <c r="CL6" t="str">
        <f t="shared" si="20"/>
        <v>1 Tütün tabakasi güzel dokulu falan | Schwarz S | Español)</v>
      </c>
      <c r="CM6" s="11" t="s">
        <v>469</v>
      </c>
      <c r="CN6" t="str">
        <f t="shared" si="21"/>
        <v>1 Tütün tabakasi güzel dokulu falan | Schwarz S | Español)BULLET-1</v>
      </c>
      <c r="CO6" t="str">
        <f t="shared" si="22"/>
        <v>1 Tütün tabakasi güzel dokulu falan | Schwarz S | Español)BULLET-2</v>
      </c>
      <c r="CP6" t="str">
        <f t="shared" si="23"/>
        <v>1 Tütün tabakasi güzel dokulu falan | Schwarz S | Español)BULLET-3</v>
      </c>
      <c r="CQ6">
        <v>13</v>
      </c>
      <c r="CT6">
        <v>12</v>
      </c>
      <c r="CW6">
        <v>12</v>
      </c>
      <c r="CZ6">
        <v>14</v>
      </c>
      <c r="DC6">
        <v>16</v>
      </c>
      <c r="DF6">
        <v>18</v>
      </c>
      <c r="DI6">
        <f>DI5-1</f>
        <v>649</v>
      </c>
      <c r="DO6" t="str">
        <f t="shared" ref="DO6:DO40" si="24">"1SEO1 Tütün tabakasi güzel dokulu falan"&amp;" | "&amp;$V6&amp;" "&amp;$X6</f>
        <v>1SEO1 Tütün tabakasi güzel dokulu falan | Schwarz S</v>
      </c>
      <c r="DP6" t="str">
        <f t="shared" ref="DP6:DP69" si="25">DO6&amp;" DESCRIPTION"</f>
        <v>1SEO1 Tütün tabakasi güzel dokulu falan | Schwarz S DESCRIPTION</v>
      </c>
      <c r="DQ6" t="str">
        <f t="shared" ref="DQ6:DQ69" si="26">DO6&amp;" KEYWORD"</f>
        <v>1SEO1 Tütün tabakasi güzel dokulu falan | Schwarz S KEYWORD</v>
      </c>
    </row>
    <row r="7" spans="1:121" ht="15" customHeight="1" x14ac:dyDescent="0.25">
      <c r="A7" t="s">
        <v>236</v>
      </c>
      <c r="B7" t="s">
        <v>287</v>
      </c>
      <c r="C7" t="s">
        <v>274</v>
      </c>
      <c r="D7" t="s">
        <v>228</v>
      </c>
      <c r="E7" s="9" t="s">
        <v>237</v>
      </c>
      <c r="F7">
        <v>50</v>
      </c>
      <c r="K7">
        <f>K6+1</f>
        <v>52</v>
      </c>
      <c r="L7">
        <v>12</v>
      </c>
      <c r="M7">
        <v>3</v>
      </c>
      <c r="N7">
        <v>8</v>
      </c>
      <c r="O7" s="10" t="s">
        <v>433</v>
      </c>
      <c r="P7" s="10" t="s">
        <v>428</v>
      </c>
      <c r="T7" s="10" t="s">
        <v>452</v>
      </c>
      <c r="V7" t="s">
        <v>276</v>
      </c>
      <c r="X7" t="s">
        <v>239</v>
      </c>
      <c r="AG7" t="s">
        <v>266</v>
      </c>
      <c r="AH7">
        <v>200</v>
      </c>
      <c r="AI7" t="s">
        <v>456</v>
      </c>
      <c r="AJ7" t="s">
        <v>457</v>
      </c>
      <c r="AK7" t="s">
        <v>458</v>
      </c>
      <c r="AL7" t="s">
        <v>459</v>
      </c>
      <c r="AM7" t="s">
        <v>460</v>
      </c>
      <c r="AN7" t="s">
        <v>461</v>
      </c>
      <c r="AO7" t="s">
        <v>462</v>
      </c>
      <c r="AP7" t="s">
        <v>463</v>
      </c>
      <c r="BM7" t="str">
        <f>"1 Tütün tabakasi güzel dokulu falan"&amp;" | "&amp;$V7&amp;" "&amp;$X7&amp;" | "&amp;MID(BM$3,FIND("(",BM$3,1)+1,10)</f>
        <v>1 Tütün tabakasi güzel dokulu falan | Weiß S | Deutsch)</v>
      </c>
      <c r="BN7" s="11" t="s">
        <v>464</v>
      </c>
      <c r="BO7" t="str">
        <f t="shared" ref="BO7:BO40" si="27">BM7&amp;"BULLET-1"</f>
        <v>1 Tütün tabakasi güzel dokulu falan | Weiß S | Deutsch)BULLET-1</v>
      </c>
      <c r="BP7" t="str">
        <f t="shared" ref="BP7:BP40" si="28">BM7&amp;"BULLET-2"</f>
        <v>1 Tütün tabakasi güzel dokulu falan | Weiß S | Deutsch)BULLET-2</v>
      </c>
      <c r="BQ7" t="str">
        <f t="shared" ref="BQ7:BQ40" si="29">BM7&amp;"BULLET-3"</f>
        <v>1 Tütün tabakasi güzel dokulu falan | Weiß S | Deutsch)BULLET-3</v>
      </c>
      <c r="BR7" t="str">
        <f>"1 Tütün tabakasi güzel dokulu falan"&amp;" | "&amp;$V7&amp;" "&amp;$X7&amp;" | "&amp;MID(BR$3,FIND("(",BR$3,1)+1,10)</f>
        <v>1 Tütün tabakasi güzel dokulu falan | Weiß S | English)</v>
      </c>
      <c r="BS7" s="11" t="s">
        <v>465</v>
      </c>
      <c r="BT7" t="str">
        <f t="shared" si="5"/>
        <v>1 Tütün tabakasi güzel dokulu falan | Weiß S | English)BULLET-1</v>
      </c>
      <c r="BU7" t="str">
        <f t="shared" si="6"/>
        <v>1 Tütün tabakasi güzel dokulu falan | Weiß S | English)BULLET-2</v>
      </c>
      <c r="BV7" t="str">
        <f t="shared" si="7"/>
        <v>1 Tütün tabakasi güzel dokulu falan | Weiß S | English)BULLET-3</v>
      </c>
      <c r="BW7" t="str">
        <f>"1 Tütün tabakasi güzel dokulu falan"&amp;" | "&amp;$V7&amp;" "&amp;$X7&amp;" | "&amp;MID(BW$3,FIND("(",BW$3,1)+1,10)</f>
        <v>1 Tütün tabakasi güzel dokulu falan | Weiß S | Türkçe)</v>
      </c>
      <c r="BX7" s="11" t="s">
        <v>466</v>
      </c>
      <c r="BY7" t="str">
        <f t="shared" si="9"/>
        <v>1 Tütün tabakasi güzel dokulu falan | Weiß S | Türkçe)BULLET-1</v>
      </c>
      <c r="BZ7" t="str">
        <f t="shared" si="10"/>
        <v>1 Tütün tabakasi güzel dokulu falan | Weiß S | Türkçe)BULLET-2</v>
      </c>
      <c r="CA7" t="str">
        <f t="shared" si="11"/>
        <v>1 Tütün tabakasi güzel dokulu falan | Weiß S | Türkçe)BULLET-3</v>
      </c>
      <c r="CB7" t="str">
        <f>"1 Tütün tabakasi güzel dokulu falan"&amp;" | "&amp;$V7&amp;" "&amp;$X7&amp;" | "&amp;MID(CB$3,FIND("(",CB$3,1)+1,10)</f>
        <v>1 Tütün tabakasi güzel dokulu falan | Weiß S | Français)</v>
      </c>
      <c r="CC7" s="11" t="s">
        <v>467</v>
      </c>
      <c r="CD7" t="str">
        <f t="shared" si="13"/>
        <v>1 Tütün tabakasi güzel dokulu falan | Weiß S | Français)BULLET-1</v>
      </c>
      <c r="CE7" t="str">
        <f t="shared" si="14"/>
        <v>1 Tütün tabakasi güzel dokulu falan | Weiß S | Français)BULLET-2</v>
      </c>
      <c r="CF7" t="str">
        <f t="shared" si="15"/>
        <v>1 Tütün tabakasi güzel dokulu falan | Weiß S | Français)BULLET-3</v>
      </c>
      <c r="CG7" t="str">
        <f>"1 Tütün tabakasi güzel dokulu falan"&amp;" | "&amp;$V7&amp;" "&amp;$X7&amp;" | "&amp;MID(CG$3,FIND("(",CG$3,1)+1,10)</f>
        <v>1 Tütün tabakasi güzel dokulu falan | Weiß S | Italiano)</v>
      </c>
      <c r="CH7" s="11" t="s">
        <v>468</v>
      </c>
      <c r="CI7" t="str">
        <f t="shared" si="17"/>
        <v>1 Tütün tabakasi güzel dokulu falan | Weiß S | Italiano)BULLET-1</v>
      </c>
      <c r="CJ7" t="str">
        <f t="shared" si="18"/>
        <v>1 Tütün tabakasi güzel dokulu falan | Weiß S | Italiano)BULLET-2</v>
      </c>
      <c r="CK7" t="str">
        <f t="shared" si="19"/>
        <v>1 Tütün tabakasi güzel dokulu falan | Weiß S | Italiano)BULLET-3</v>
      </c>
      <c r="CL7" t="str">
        <f>"1 Tütün tabakasi güzel dokulu falan"&amp;" | "&amp;$V7&amp;" "&amp;$X7&amp;" | "&amp;MID(CL$3,FIND("(",CL$3,1)+1,10)</f>
        <v>1 Tütün tabakasi güzel dokulu falan | Weiß S | Español)</v>
      </c>
      <c r="CM7" s="11" t="s">
        <v>469</v>
      </c>
      <c r="CN7" t="str">
        <f t="shared" si="21"/>
        <v>1 Tütün tabakasi güzel dokulu falan | Weiß S | Español)BULLET-1</v>
      </c>
      <c r="CO7" t="str">
        <f t="shared" si="22"/>
        <v>1 Tütün tabakasi güzel dokulu falan | Weiß S | Español)BULLET-2</v>
      </c>
      <c r="CP7" t="str">
        <f t="shared" si="23"/>
        <v>1 Tütün tabakasi güzel dokulu falan | Weiß S | Español)BULLET-3</v>
      </c>
      <c r="CQ7">
        <v>19</v>
      </c>
      <c r="CT7">
        <v>12</v>
      </c>
      <c r="CW7">
        <v>12</v>
      </c>
      <c r="CZ7">
        <v>14</v>
      </c>
      <c r="DC7">
        <v>16</v>
      </c>
      <c r="DF7">
        <v>18</v>
      </c>
      <c r="DI7">
        <f t="shared" ref="DI7:DI40" si="30">DI6-1</f>
        <v>648</v>
      </c>
      <c r="DO7" t="str">
        <f t="shared" si="24"/>
        <v>1SEO1 Tütün tabakasi güzel dokulu falan | Weiß S</v>
      </c>
      <c r="DP7" t="str">
        <f t="shared" si="25"/>
        <v>1SEO1 Tütün tabakasi güzel dokulu falan | Weiß S DESCRIPTION</v>
      </c>
      <c r="DQ7" t="str">
        <f t="shared" si="26"/>
        <v>1SEO1 Tütün tabakasi güzel dokulu falan | Weiß S KEYWORD</v>
      </c>
    </row>
    <row r="8" spans="1:121" ht="15" customHeight="1" x14ac:dyDescent="0.25">
      <c r="A8" t="s">
        <v>236</v>
      </c>
      <c r="B8" t="s">
        <v>288</v>
      </c>
      <c r="C8" t="s">
        <v>274</v>
      </c>
      <c r="D8" t="s">
        <v>228</v>
      </c>
      <c r="E8" s="9" t="s">
        <v>240</v>
      </c>
      <c r="F8">
        <v>50</v>
      </c>
      <c r="K8">
        <f t="shared" ref="K8:K40" si="31">K7+1</f>
        <v>53</v>
      </c>
      <c r="L8">
        <v>12</v>
      </c>
      <c r="M8">
        <v>3</v>
      </c>
      <c r="N8">
        <v>8</v>
      </c>
      <c r="O8" s="10" t="s">
        <v>434</v>
      </c>
      <c r="P8" s="10" t="s">
        <v>428</v>
      </c>
      <c r="T8" s="10" t="s">
        <v>455</v>
      </c>
      <c r="V8" t="s">
        <v>277</v>
      </c>
      <c r="X8" t="s">
        <v>239</v>
      </c>
      <c r="AG8" t="s">
        <v>266</v>
      </c>
      <c r="AH8">
        <v>200</v>
      </c>
      <c r="AI8" t="s">
        <v>456</v>
      </c>
      <c r="AJ8" t="s">
        <v>457</v>
      </c>
      <c r="AK8" t="s">
        <v>458</v>
      </c>
      <c r="AL8" t="s">
        <v>459</v>
      </c>
      <c r="AM8" t="s">
        <v>460</v>
      </c>
      <c r="AN8" t="s">
        <v>461</v>
      </c>
      <c r="AO8" t="s">
        <v>462</v>
      </c>
      <c r="AP8" t="s">
        <v>463</v>
      </c>
      <c r="BM8" t="str">
        <f t="shared" ref="BM8:BM40" si="32">"1 Tütün tabakasi güzel dokulu falan"&amp;" | "&amp;$V8&amp;" "&amp;$X8&amp;" | "&amp;MID(BM$3,FIND("(",BM$3,1)+1,10)</f>
        <v>1 Tütün tabakasi güzel dokulu falan | Grün S | Deutsch)</v>
      </c>
      <c r="BN8" s="11" t="s">
        <v>464</v>
      </c>
      <c r="BO8" t="str">
        <f t="shared" si="27"/>
        <v>1 Tütün tabakasi güzel dokulu falan | Grün S | Deutsch)BULLET-1</v>
      </c>
      <c r="BP8" t="str">
        <f t="shared" si="28"/>
        <v>1 Tütün tabakasi güzel dokulu falan | Grün S | Deutsch)BULLET-2</v>
      </c>
      <c r="BQ8" t="str">
        <f t="shared" si="29"/>
        <v>1 Tütün tabakasi güzel dokulu falan | Grün S | Deutsch)BULLET-3</v>
      </c>
      <c r="BR8" t="str">
        <f t="shared" ref="BR8:BR40" si="33">"1 Tütün tabakasi güzel dokulu falan"&amp;" | "&amp;$V8&amp;" "&amp;$X8&amp;" | "&amp;MID(BR$3,FIND("(",BR$3,1)+1,10)</f>
        <v>1 Tütün tabakasi güzel dokulu falan | Grün S | English)</v>
      </c>
      <c r="BS8" s="11" t="s">
        <v>465</v>
      </c>
      <c r="BT8" t="str">
        <f t="shared" si="5"/>
        <v>1 Tütün tabakasi güzel dokulu falan | Grün S | English)BULLET-1</v>
      </c>
      <c r="BU8" t="str">
        <f t="shared" si="6"/>
        <v>1 Tütün tabakasi güzel dokulu falan | Grün S | English)BULLET-2</v>
      </c>
      <c r="BV8" t="str">
        <f t="shared" si="7"/>
        <v>1 Tütün tabakasi güzel dokulu falan | Grün S | English)BULLET-3</v>
      </c>
      <c r="BW8" t="str">
        <f t="shared" ref="BW8:BW40" si="34">"1 Tütün tabakasi güzel dokulu falan"&amp;" | "&amp;$V8&amp;" "&amp;$X8&amp;" | "&amp;MID(BW$3,FIND("(",BW$3,1)+1,10)</f>
        <v>1 Tütün tabakasi güzel dokulu falan | Grün S | Türkçe)</v>
      </c>
      <c r="BX8" s="11" t="s">
        <v>466</v>
      </c>
      <c r="BY8" t="str">
        <f t="shared" si="9"/>
        <v>1 Tütün tabakasi güzel dokulu falan | Grün S | Türkçe)BULLET-1</v>
      </c>
      <c r="BZ8" t="str">
        <f t="shared" si="10"/>
        <v>1 Tütün tabakasi güzel dokulu falan | Grün S | Türkçe)BULLET-2</v>
      </c>
      <c r="CA8" t="str">
        <f t="shared" si="11"/>
        <v>1 Tütün tabakasi güzel dokulu falan | Grün S | Türkçe)BULLET-3</v>
      </c>
      <c r="CB8" t="str">
        <f t="shared" ref="CB8:CB40" si="35">"1 Tütün tabakasi güzel dokulu falan"&amp;" | "&amp;$V8&amp;" "&amp;$X8&amp;" | "&amp;MID(CB$3,FIND("(",CB$3,1)+1,10)</f>
        <v>1 Tütün tabakasi güzel dokulu falan | Grün S | Français)</v>
      </c>
      <c r="CC8" s="11" t="s">
        <v>467</v>
      </c>
      <c r="CD8" t="str">
        <f t="shared" si="13"/>
        <v>1 Tütün tabakasi güzel dokulu falan | Grün S | Français)BULLET-1</v>
      </c>
      <c r="CE8" t="str">
        <f t="shared" si="14"/>
        <v>1 Tütün tabakasi güzel dokulu falan | Grün S | Français)BULLET-2</v>
      </c>
      <c r="CF8" t="str">
        <f t="shared" si="15"/>
        <v>1 Tütün tabakasi güzel dokulu falan | Grün S | Français)BULLET-3</v>
      </c>
      <c r="CG8" t="str">
        <f t="shared" ref="CG8:CG40" si="36">"1 Tütün tabakasi güzel dokulu falan"&amp;" | "&amp;$V8&amp;" "&amp;$X8&amp;" | "&amp;MID(CG$3,FIND("(",CG$3,1)+1,10)</f>
        <v>1 Tütün tabakasi güzel dokulu falan | Grün S | Italiano)</v>
      </c>
      <c r="CH8" s="11" t="s">
        <v>468</v>
      </c>
      <c r="CI8" t="str">
        <f t="shared" si="17"/>
        <v>1 Tütün tabakasi güzel dokulu falan | Grün S | Italiano)BULLET-1</v>
      </c>
      <c r="CJ8" t="str">
        <f t="shared" si="18"/>
        <v>1 Tütün tabakasi güzel dokulu falan | Grün S | Italiano)BULLET-2</v>
      </c>
      <c r="CK8" t="str">
        <f t="shared" si="19"/>
        <v>1 Tütün tabakasi güzel dokulu falan | Grün S | Italiano)BULLET-3</v>
      </c>
      <c r="CL8" t="str">
        <f t="shared" ref="CL8:CL40" si="37">"1 Tütün tabakasi güzel dokulu falan"&amp;" | "&amp;$V8&amp;" "&amp;$X8&amp;" | "&amp;MID(CL$3,FIND("(",CL$3,1)+1,10)</f>
        <v>1 Tütün tabakasi güzel dokulu falan | Grün S | Español)</v>
      </c>
      <c r="CM8" s="11" t="s">
        <v>469</v>
      </c>
      <c r="CN8" t="str">
        <f t="shared" si="21"/>
        <v>1 Tütün tabakasi güzel dokulu falan | Grün S | Español)BULLET-1</v>
      </c>
      <c r="CO8" t="str">
        <f t="shared" si="22"/>
        <v>1 Tütün tabakasi güzel dokulu falan | Grün S | Español)BULLET-2</v>
      </c>
      <c r="CP8" t="str">
        <f t="shared" si="23"/>
        <v>1 Tütün tabakasi güzel dokulu falan | Grün S | Español)BULLET-3</v>
      </c>
      <c r="CQ8">
        <v>5</v>
      </c>
      <c r="CT8">
        <v>12</v>
      </c>
      <c r="CW8">
        <v>12</v>
      </c>
      <c r="CZ8">
        <v>14</v>
      </c>
      <c r="DC8">
        <v>16</v>
      </c>
      <c r="DF8">
        <v>18</v>
      </c>
      <c r="DI8">
        <f t="shared" si="30"/>
        <v>647</v>
      </c>
      <c r="DO8" t="str">
        <f t="shared" si="24"/>
        <v>1SEO1 Tütün tabakasi güzel dokulu falan | Grün S</v>
      </c>
      <c r="DP8" t="str">
        <f t="shared" si="25"/>
        <v>1SEO1 Tütün tabakasi güzel dokulu falan | Grün S DESCRIPTION</v>
      </c>
      <c r="DQ8" t="str">
        <f t="shared" si="26"/>
        <v>1SEO1 Tütün tabakasi güzel dokulu falan | Grün S KEYWORD</v>
      </c>
    </row>
    <row r="9" spans="1:121" ht="15" customHeight="1" x14ac:dyDescent="0.25">
      <c r="A9" t="s">
        <v>236</v>
      </c>
      <c r="B9" t="s">
        <v>289</v>
      </c>
      <c r="C9" t="s">
        <v>274</v>
      </c>
      <c r="D9" t="s">
        <v>228</v>
      </c>
      <c r="E9" s="9" t="s">
        <v>358</v>
      </c>
      <c r="F9">
        <v>50</v>
      </c>
      <c r="K9">
        <f t="shared" si="31"/>
        <v>54</v>
      </c>
      <c r="L9">
        <v>12</v>
      </c>
      <c r="M9">
        <v>3</v>
      </c>
      <c r="N9">
        <v>8</v>
      </c>
      <c r="O9" s="10" t="s">
        <v>435</v>
      </c>
      <c r="P9" s="10" t="s">
        <v>428</v>
      </c>
      <c r="T9" s="10" t="s">
        <v>449</v>
      </c>
      <c r="V9" t="s">
        <v>278</v>
      </c>
      <c r="X9" t="s">
        <v>239</v>
      </c>
      <c r="AG9" t="s">
        <v>266</v>
      </c>
      <c r="AH9">
        <v>200</v>
      </c>
      <c r="AI9" t="s">
        <v>456</v>
      </c>
      <c r="AJ9" t="s">
        <v>457</v>
      </c>
      <c r="AK9" t="s">
        <v>458</v>
      </c>
      <c r="AL9" t="s">
        <v>459</v>
      </c>
      <c r="AM9" t="s">
        <v>460</v>
      </c>
      <c r="AN9" t="s">
        <v>461</v>
      </c>
      <c r="AO9" t="s">
        <v>462</v>
      </c>
      <c r="AP9" t="s">
        <v>463</v>
      </c>
      <c r="BM9" t="str">
        <f t="shared" si="32"/>
        <v>1 Tütün tabakasi güzel dokulu falan | Blau S | Deutsch)</v>
      </c>
      <c r="BN9" s="11" t="s">
        <v>464</v>
      </c>
      <c r="BO9" t="str">
        <f t="shared" si="27"/>
        <v>1 Tütün tabakasi güzel dokulu falan | Blau S | Deutsch)BULLET-1</v>
      </c>
      <c r="BP9" t="str">
        <f t="shared" si="28"/>
        <v>1 Tütün tabakasi güzel dokulu falan | Blau S | Deutsch)BULLET-2</v>
      </c>
      <c r="BQ9" t="str">
        <f t="shared" si="29"/>
        <v>1 Tütün tabakasi güzel dokulu falan | Blau S | Deutsch)BULLET-3</v>
      </c>
      <c r="BR9" t="str">
        <f t="shared" si="33"/>
        <v>1 Tütün tabakasi güzel dokulu falan | Blau S | English)</v>
      </c>
      <c r="BS9" s="11" t="s">
        <v>465</v>
      </c>
      <c r="BT9" t="str">
        <f t="shared" si="5"/>
        <v>1 Tütün tabakasi güzel dokulu falan | Blau S | English)BULLET-1</v>
      </c>
      <c r="BU9" t="str">
        <f t="shared" si="6"/>
        <v>1 Tütün tabakasi güzel dokulu falan | Blau S | English)BULLET-2</v>
      </c>
      <c r="BV9" t="str">
        <f t="shared" si="7"/>
        <v>1 Tütün tabakasi güzel dokulu falan | Blau S | English)BULLET-3</v>
      </c>
      <c r="BW9" t="str">
        <f t="shared" si="34"/>
        <v>1 Tütün tabakasi güzel dokulu falan | Blau S | Türkçe)</v>
      </c>
      <c r="BX9" s="11" t="s">
        <v>466</v>
      </c>
      <c r="BY9" t="str">
        <f t="shared" si="9"/>
        <v>1 Tütün tabakasi güzel dokulu falan | Blau S | Türkçe)BULLET-1</v>
      </c>
      <c r="BZ9" t="str">
        <f t="shared" si="10"/>
        <v>1 Tütün tabakasi güzel dokulu falan | Blau S | Türkçe)BULLET-2</v>
      </c>
      <c r="CA9" t="str">
        <f t="shared" si="11"/>
        <v>1 Tütün tabakasi güzel dokulu falan | Blau S | Türkçe)BULLET-3</v>
      </c>
      <c r="CB9" t="str">
        <f t="shared" si="35"/>
        <v>1 Tütün tabakasi güzel dokulu falan | Blau S | Français)</v>
      </c>
      <c r="CC9" s="11" t="s">
        <v>467</v>
      </c>
      <c r="CD9" t="str">
        <f t="shared" si="13"/>
        <v>1 Tütün tabakasi güzel dokulu falan | Blau S | Français)BULLET-1</v>
      </c>
      <c r="CE9" t="str">
        <f t="shared" si="14"/>
        <v>1 Tütün tabakasi güzel dokulu falan | Blau S | Français)BULLET-2</v>
      </c>
      <c r="CF9" t="str">
        <f t="shared" si="15"/>
        <v>1 Tütün tabakasi güzel dokulu falan | Blau S | Français)BULLET-3</v>
      </c>
      <c r="CG9" t="str">
        <f t="shared" si="36"/>
        <v>1 Tütün tabakasi güzel dokulu falan | Blau S | Italiano)</v>
      </c>
      <c r="CH9" s="11" t="s">
        <v>468</v>
      </c>
      <c r="CI9" t="str">
        <f t="shared" si="17"/>
        <v>1 Tütün tabakasi güzel dokulu falan | Blau S | Italiano)BULLET-1</v>
      </c>
      <c r="CJ9" t="str">
        <f t="shared" si="18"/>
        <v>1 Tütün tabakasi güzel dokulu falan | Blau S | Italiano)BULLET-2</v>
      </c>
      <c r="CK9" t="str">
        <f t="shared" si="19"/>
        <v>1 Tütün tabakasi güzel dokulu falan | Blau S | Italiano)BULLET-3</v>
      </c>
      <c r="CL9" t="str">
        <f t="shared" si="37"/>
        <v>1 Tütün tabakasi güzel dokulu falan | Blau S | Español)</v>
      </c>
      <c r="CM9" s="11" t="s">
        <v>469</v>
      </c>
      <c r="CN9" t="str">
        <f t="shared" si="21"/>
        <v>1 Tütün tabakasi güzel dokulu falan | Blau S | Español)BULLET-1</v>
      </c>
      <c r="CO9" t="str">
        <f t="shared" si="22"/>
        <v>1 Tütün tabakasi güzel dokulu falan | Blau S | Español)BULLET-2</v>
      </c>
      <c r="CP9" t="str">
        <f t="shared" si="23"/>
        <v>1 Tütün tabakasi güzel dokulu falan | Blau S | Español)BULLET-3</v>
      </c>
      <c r="CQ9">
        <v>4</v>
      </c>
      <c r="CT9">
        <v>12</v>
      </c>
      <c r="CW9">
        <v>12</v>
      </c>
      <c r="CZ9">
        <v>14</v>
      </c>
      <c r="DC9">
        <v>16</v>
      </c>
      <c r="DF9">
        <v>18</v>
      </c>
      <c r="DI9">
        <f t="shared" si="30"/>
        <v>646</v>
      </c>
      <c r="DO9" t="str">
        <f t="shared" si="24"/>
        <v>1SEO1 Tütün tabakasi güzel dokulu falan | Blau S</v>
      </c>
      <c r="DP9" t="str">
        <f t="shared" si="25"/>
        <v>1SEO1 Tütün tabakasi güzel dokulu falan | Blau S DESCRIPTION</v>
      </c>
      <c r="DQ9" t="str">
        <f t="shared" si="26"/>
        <v>1SEO1 Tütün tabakasi güzel dokulu falan | Blau S KEYWORD</v>
      </c>
    </row>
    <row r="10" spans="1:121" ht="15" customHeight="1" x14ac:dyDescent="0.25">
      <c r="A10" t="s">
        <v>236</v>
      </c>
      <c r="B10" t="s">
        <v>290</v>
      </c>
      <c r="C10" t="s">
        <v>274</v>
      </c>
      <c r="D10" t="s">
        <v>228</v>
      </c>
      <c r="E10" s="9" t="s">
        <v>359</v>
      </c>
      <c r="F10">
        <v>50</v>
      </c>
      <c r="K10">
        <f t="shared" si="31"/>
        <v>55</v>
      </c>
      <c r="L10">
        <v>12</v>
      </c>
      <c r="M10">
        <v>3</v>
      </c>
      <c r="N10">
        <v>8</v>
      </c>
      <c r="O10" s="10" t="s">
        <v>436</v>
      </c>
      <c r="P10" s="10" t="s">
        <v>428</v>
      </c>
      <c r="T10" s="10" t="s">
        <v>454</v>
      </c>
      <c r="V10" t="s">
        <v>279</v>
      </c>
      <c r="X10" t="s">
        <v>239</v>
      </c>
      <c r="AG10" t="s">
        <v>266</v>
      </c>
      <c r="AH10">
        <v>200</v>
      </c>
      <c r="AI10" t="s">
        <v>456</v>
      </c>
      <c r="AJ10" t="s">
        <v>457</v>
      </c>
      <c r="AK10" t="s">
        <v>458</v>
      </c>
      <c r="AL10" t="s">
        <v>459</v>
      </c>
      <c r="AM10" t="s">
        <v>460</v>
      </c>
      <c r="AN10" t="s">
        <v>461</v>
      </c>
      <c r="AO10" t="s">
        <v>462</v>
      </c>
      <c r="AP10" t="s">
        <v>463</v>
      </c>
      <c r="BM10" t="str">
        <f t="shared" si="32"/>
        <v>1 Tütün tabakasi güzel dokulu falan | Gelb S | Deutsch)</v>
      </c>
      <c r="BN10" s="11" t="s">
        <v>464</v>
      </c>
      <c r="BO10" t="str">
        <f t="shared" si="27"/>
        <v>1 Tütün tabakasi güzel dokulu falan | Gelb S | Deutsch)BULLET-1</v>
      </c>
      <c r="BP10" t="str">
        <f t="shared" si="28"/>
        <v>1 Tütün tabakasi güzel dokulu falan | Gelb S | Deutsch)BULLET-2</v>
      </c>
      <c r="BQ10" t="str">
        <f t="shared" si="29"/>
        <v>1 Tütün tabakasi güzel dokulu falan | Gelb S | Deutsch)BULLET-3</v>
      </c>
      <c r="BR10" t="str">
        <f t="shared" si="33"/>
        <v>1 Tütün tabakasi güzel dokulu falan | Gelb S | English)</v>
      </c>
      <c r="BS10" s="11" t="s">
        <v>465</v>
      </c>
      <c r="BT10" t="str">
        <f t="shared" si="5"/>
        <v>1 Tütün tabakasi güzel dokulu falan | Gelb S | English)BULLET-1</v>
      </c>
      <c r="BU10" t="str">
        <f t="shared" si="6"/>
        <v>1 Tütün tabakasi güzel dokulu falan | Gelb S | English)BULLET-2</v>
      </c>
      <c r="BV10" t="str">
        <f t="shared" si="7"/>
        <v>1 Tütün tabakasi güzel dokulu falan | Gelb S | English)BULLET-3</v>
      </c>
      <c r="BW10" t="str">
        <f t="shared" si="34"/>
        <v>1 Tütün tabakasi güzel dokulu falan | Gelb S | Türkçe)</v>
      </c>
      <c r="BX10" s="11" t="s">
        <v>466</v>
      </c>
      <c r="BY10" t="str">
        <f t="shared" si="9"/>
        <v>1 Tütün tabakasi güzel dokulu falan | Gelb S | Türkçe)BULLET-1</v>
      </c>
      <c r="BZ10" t="str">
        <f t="shared" si="10"/>
        <v>1 Tütün tabakasi güzel dokulu falan | Gelb S | Türkçe)BULLET-2</v>
      </c>
      <c r="CA10" t="str">
        <f t="shared" si="11"/>
        <v>1 Tütün tabakasi güzel dokulu falan | Gelb S | Türkçe)BULLET-3</v>
      </c>
      <c r="CB10" t="str">
        <f t="shared" si="35"/>
        <v>1 Tütün tabakasi güzel dokulu falan | Gelb S | Français)</v>
      </c>
      <c r="CC10" s="11" t="s">
        <v>467</v>
      </c>
      <c r="CD10" t="str">
        <f t="shared" si="13"/>
        <v>1 Tütün tabakasi güzel dokulu falan | Gelb S | Français)BULLET-1</v>
      </c>
      <c r="CE10" t="str">
        <f t="shared" si="14"/>
        <v>1 Tütün tabakasi güzel dokulu falan | Gelb S | Français)BULLET-2</v>
      </c>
      <c r="CF10" t="str">
        <f t="shared" si="15"/>
        <v>1 Tütün tabakasi güzel dokulu falan | Gelb S | Français)BULLET-3</v>
      </c>
      <c r="CG10" t="str">
        <f t="shared" si="36"/>
        <v>1 Tütün tabakasi güzel dokulu falan | Gelb S | Italiano)</v>
      </c>
      <c r="CH10" s="11" t="s">
        <v>468</v>
      </c>
      <c r="CI10" t="str">
        <f t="shared" si="17"/>
        <v>1 Tütün tabakasi güzel dokulu falan | Gelb S | Italiano)BULLET-1</v>
      </c>
      <c r="CJ10" t="str">
        <f t="shared" si="18"/>
        <v>1 Tütün tabakasi güzel dokulu falan | Gelb S | Italiano)BULLET-2</v>
      </c>
      <c r="CK10" t="str">
        <f t="shared" si="19"/>
        <v>1 Tütün tabakasi güzel dokulu falan | Gelb S | Italiano)BULLET-3</v>
      </c>
      <c r="CL10" t="str">
        <f t="shared" si="37"/>
        <v>1 Tütün tabakasi güzel dokulu falan | Gelb S | Español)</v>
      </c>
      <c r="CM10" s="11" t="s">
        <v>469</v>
      </c>
      <c r="CN10" t="str">
        <f t="shared" si="21"/>
        <v>1 Tütün tabakasi güzel dokulu falan | Gelb S | Español)BULLET-1</v>
      </c>
      <c r="CO10" t="str">
        <f t="shared" si="22"/>
        <v>1 Tütün tabakasi güzel dokulu falan | Gelb S | Español)BULLET-2</v>
      </c>
      <c r="CP10" t="str">
        <f t="shared" si="23"/>
        <v>1 Tütün tabakasi güzel dokulu falan | Gelb S | Español)BULLET-3</v>
      </c>
      <c r="CQ10">
        <v>10</v>
      </c>
      <c r="CT10">
        <v>12</v>
      </c>
      <c r="CW10">
        <v>12</v>
      </c>
      <c r="CZ10">
        <v>14</v>
      </c>
      <c r="DC10">
        <v>16</v>
      </c>
      <c r="DF10">
        <v>18</v>
      </c>
      <c r="DI10">
        <f t="shared" si="30"/>
        <v>645</v>
      </c>
      <c r="DO10" t="str">
        <f t="shared" si="24"/>
        <v>1SEO1 Tütün tabakasi güzel dokulu falan | Gelb S</v>
      </c>
      <c r="DP10" t="str">
        <f t="shared" si="25"/>
        <v>1SEO1 Tütün tabakasi güzel dokulu falan | Gelb S DESCRIPTION</v>
      </c>
      <c r="DQ10" t="str">
        <f t="shared" si="26"/>
        <v>1SEO1 Tütün tabakasi güzel dokulu falan | Gelb S KEYWORD</v>
      </c>
    </row>
    <row r="11" spans="1:121" ht="15" customHeight="1" x14ac:dyDescent="0.25">
      <c r="A11" t="s">
        <v>236</v>
      </c>
      <c r="B11" t="s">
        <v>291</v>
      </c>
      <c r="C11" t="s">
        <v>274</v>
      </c>
      <c r="D11" t="s">
        <v>228</v>
      </c>
      <c r="E11" s="9" t="s">
        <v>360</v>
      </c>
      <c r="F11">
        <v>50</v>
      </c>
      <c r="K11">
        <f t="shared" si="31"/>
        <v>56</v>
      </c>
      <c r="L11">
        <v>12</v>
      </c>
      <c r="M11">
        <v>3</v>
      </c>
      <c r="N11">
        <v>8</v>
      </c>
      <c r="O11" s="10" t="s">
        <v>437</v>
      </c>
      <c r="P11" s="10" t="s">
        <v>428</v>
      </c>
      <c r="T11" s="10" t="s">
        <v>451</v>
      </c>
      <c r="V11" t="s">
        <v>280</v>
      </c>
      <c r="X11" t="s">
        <v>239</v>
      </c>
      <c r="AG11" t="s">
        <v>266</v>
      </c>
      <c r="AH11">
        <v>200</v>
      </c>
      <c r="AI11" t="s">
        <v>456</v>
      </c>
      <c r="AJ11" t="s">
        <v>457</v>
      </c>
      <c r="AK11" t="s">
        <v>458</v>
      </c>
      <c r="AL11" t="s">
        <v>459</v>
      </c>
      <c r="AM11" t="s">
        <v>460</v>
      </c>
      <c r="AN11" t="s">
        <v>461</v>
      </c>
      <c r="AO11" t="s">
        <v>462</v>
      </c>
      <c r="AP11" t="s">
        <v>463</v>
      </c>
      <c r="BM11" t="str">
        <f t="shared" si="32"/>
        <v>1 Tütün tabakasi güzel dokulu falan | Lila S | Deutsch)</v>
      </c>
      <c r="BN11" s="11" t="s">
        <v>464</v>
      </c>
      <c r="BO11" t="str">
        <f t="shared" si="27"/>
        <v>1 Tütün tabakasi güzel dokulu falan | Lila S | Deutsch)BULLET-1</v>
      </c>
      <c r="BP11" t="str">
        <f t="shared" si="28"/>
        <v>1 Tütün tabakasi güzel dokulu falan | Lila S | Deutsch)BULLET-2</v>
      </c>
      <c r="BQ11" t="str">
        <f t="shared" si="29"/>
        <v>1 Tütün tabakasi güzel dokulu falan | Lila S | Deutsch)BULLET-3</v>
      </c>
      <c r="BR11" t="str">
        <f t="shared" si="33"/>
        <v>1 Tütün tabakasi güzel dokulu falan | Lila S | English)</v>
      </c>
      <c r="BS11" s="11" t="s">
        <v>465</v>
      </c>
      <c r="BT11" t="str">
        <f t="shared" si="5"/>
        <v>1 Tütün tabakasi güzel dokulu falan | Lila S | English)BULLET-1</v>
      </c>
      <c r="BU11" t="str">
        <f t="shared" si="6"/>
        <v>1 Tütün tabakasi güzel dokulu falan | Lila S | English)BULLET-2</v>
      </c>
      <c r="BV11" t="str">
        <f t="shared" si="7"/>
        <v>1 Tütün tabakasi güzel dokulu falan | Lila S | English)BULLET-3</v>
      </c>
      <c r="BW11" t="str">
        <f t="shared" si="34"/>
        <v>1 Tütün tabakasi güzel dokulu falan | Lila S | Türkçe)</v>
      </c>
      <c r="BX11" s="11" t="s">
        <v>466</v>
      </c>
      <c r="BY11" t="str">
        <f t="shared" si="9"/>
        <v>1 Tütün tabakasi güzel dokulu falan | Lila S | Türkçe)BULLET-1</v>
      </c>
      <c r="BZ11" t="str">
        <f t="shared" si="10"/>
        <v>1 Tütün tabakasi güzel dokulu falan | Lila S | Türkçe)BULLET-2</v>
      </c>
      <c r="CA11" t="str">
        <f t="shared" si="11"/>
        <v>1 Tütün tabakasi güzel dokulu falan | Lila S | Türkçe)BULLET-3</v>
      </c>
      <c r="CB11" t="str">
        <f t="shared" si="35"/>
        <v>1 Tütün tabakasi güzel dokulu falan | Lila S | Français)</v>
      </c>
      <c r="CC11" s="11" t="s">
        <v>467</v>
      </c>
      <c r="CD11" t="str">
        <f t="shared" si="13"/>
        <v>1 Tütün tabakasi güzel dokulu falan | Lila S | Français)BULLET-1</v>
      </c>
      <c r="CE11" t="str">
        <f t="shared" si="14"/>
        <v>1 Tütün tabakasi güzel dokulu falan | Lila S | Français)BULLET-2</v>
      </c>
      <c r="CF11" t="str">
        <f t="shared" si="15"/>
        <v>1 Tütün tabakasi güzel dokulu falan | Lila S | Français)BULLET-3</v>
      </c>
      <c r="CG11" t="str">
        <f t="shared" si="36"/>
        <v>1 Tütün tabakasi güzel dokulu falan | Lila S | Italiano)</v>
      </c>
      <c r="CH11" s="11" t="s">
        <v>468</v>
      </c>
      <c r="CI11" t="str">
        <f t="shared" si="17"/>
        <v>1 Tütün tabakasi güzel dokulu falan | Lila S | Italiano)BULLET-1</v>
      </c>
      <c r="CJ11" t="str">
        <f t="shared" si="18"/>
        <v>1 Tütün tabakasi güzel dokulu falan | Lila S | Italiano)BULLET-2</v>
      </c>
      <c r="CK11" t="str">
        <f t="shared" si="19"/>
        <v>1 Tütün tabakasi güzel dokulu falan | Lila S | Italiano)BULLET-3</v>
      </c>
      <c r="CL11" t="str">
        <f t="shared" si="37"/>
        <v>1 Tütün tabakasi güzel dokulu falan | Lila S | Español)</v>
      </c>
      <c r="CM11" s="11" t="s">
        <v>469</v>
      </c>
      <c r="CN11" t="str">
        <f t="shared" si="21"/>
        <v>1 Tütün tabakasi güzel dokulu falan | Lila S | Español)BULLET-1</v>
      </c>
      <c r="CO11" t="str">
        <f t="shared" si="22"/>
        <v>1 Tütün tabakasi güzel dokulu falan | Lila S | Español)BULLET-2</v>
      </c>
      <c r="CP11" t="str">
        <f t="shared" si="23"/>
        <v>1 Tütün tabakasi güzel dokulu falan | Lila S | Español)BULLET-3</v>
      </c>
      <c r="CQ11">
        <v>10</v>
      </c>
      <c r="CT11">
        <v>12</v>
      </c>
      <c r="CW11">
        <v>12</v>
      </c>
      <c r="CZ11">
        <v>14</v>
      </c>
      <c r="DC11">
        <v>16</v>
      </c>
      <c r="DF11">
        <v>18</v>
      </c>
      <c r="DI11">
        <f t="shared" si="30"/>
        <v>644</v>
      </c>
      <c r="DO11" t="str">
        <f t="shared" si="24"/>
        <v>1SEO1 Tütün tabakasi güzel dokulu falan | Lila S</v>
      </c>
      <c r="DP11" t="str">
        <f t="shared" si="25"/>
        <v>1SEO1 Tütün tabakasi güzel dokulu falan | Lila S DESCRIPTION</v>
      </c>
      <c r="DQ11" t="str">
        <f t="shared" si="26"/>
        <v>1SEO1 Tütün tabakasi güzel dokulu falan | Lila S KEYWORD</v>
      </c>
    </row>
    <row r="12" spans="1:121" ht="15" customHeight="1" x14ac:dyDescent="0.25">
      <c r="A12" t="s">
        <v>236</v>
      </c>
      <c r="B12" t="s">
        <v>292</v>
      </c>
      <c r="C12" t="s">
        <v>274</v>
      </c>
      <c r="D12" t="s">
        <v>228</v>
      </c>
      <c r="E12" s="9" t="s">
        <v>361</v>
      </c>
      <c r="F12">
        <v>50</v>
      </c>
      <c r="K12">
        <f t="shared" si="31"/>
        <v>57</v>
      </c>
      <c r="L12">
        <v>12</v>
      </c>
      <c r="M12">
        <v>3</v>
      </c>
      <c r="N12">
        <v>8</v>
      </c>
      <c r="O12" s="10" t="s">
        <v>438</v>
      </c>
      <c r="P12" s="10" t="s">
        <v>428</v>
      </c>
      <c r="T12" s="10" t="s">
        <v>453</v>
      </c>
      <c r="V12" t="s">
        <v>281</v>
      </c>
      <c r="X12" t="s">
        <v>239</v>
      </c>
      <c r="AG12" t="s">
        <v>266</v>
      </c>
      <c r="AH12">
        <v>200</v>
      </c>
      <c r="AI12" t="s">
        <v>456</v>
      </c>
      <c r="AJ12" t="s">
        <v>457</v>
      </c>
      <c r="AK12" t="s">
        <v>458</v>
      </c>
      <c r="AL12" t="s">
        <v>459</v>
      </c>
      <c r="AM12" t="s">
        <v>460</v>
      </c>
      <c r="AN12" t="s">
        <v>461</v>
      </c>
      <c r="AO12" t="s">
        <v>462</v>
      </c>
      <c r="AP12" t="s">
        <v>463</v>
      </c>
      <c r="BM12" t="str">
        <f t="shared" si="32"/>
        <v>1 Tütün tabakasi güzel dokulu falan | Braun S | Deutsch)</v>
      </c>
      <c r="BN12" s="11" t="s">
        <v>464</v>
      </c>
      <c r="BO12" t="str">
        <f t="shared" si="27"/>
        <v>1 Tütün tabakasi güzel dokulu falan | Braun S | Deutsch)BULLET-1</v>
      </c>
      <c r="BP12" t="str">
        <f t="shared" si="28"/>
        <v>1 Tütün tabakasi güzel dokulu falan | Braun S | Deutsch)BULLET-2</v>
      </c>
      <c r="BQ12" t="str">
        <f t="shared" si="29"/>
        <v>1 Tütün tabakasi güzel dokulu falan | Braun S | Deutsch)BULLET-3</v>
      </c>
      <c r="BR12" t="str">
        <f t="shared" si="33"/>
        <v>1 Tütün tabakasi güzel dokulu falan | Braun S | English)</v>
      </c>
      <c r="BS12" s="11" t="s">
        <v>465</v>
      </c>
      <c r="BT12" t="str">
        <f t="shared" si="5"/>
        <v>1 Tütün tabakasi güzel dokulu falan | Braun S | English)BULLET-1</v>
      </c>
      <c r="BU12" t="str">
        <f t="shared" si="6"/>
        <v>1 Tütün tabakasi güzel dokulu falan | Braun S | English)BULLET-2</v>
      </c>
      <c r="BV12" t="str">
        <f t="shared" si="7"/>
        <v>1 Tütün tabakasi güzel dokulu falan | Braun S | English)BULLET-3</v>
      </c>
      <c r="BW12" t="str">
        <f t="shared" si="34"/>
        <v>1 Tütün tabakasi güzel dokulu falan | Braun S | Türkçe)</v>
      </c>
      <c r="BX12" s="11" t="s">
        <v>466</v>
      </c>
      <c r="BY12" t="str">
        <f t="shared" si="9"/>
        <v>1 Tütün tabakasi güzel dokulu falan | Braun S | Türkçe)BULLET-1</v>
      </c>
      <c r="BZ12" t="str">
        <f t="shared" si="10"/>
        <v>1 Tütün tabakasi güzel dokulu falan | Braun S | Türkçe)BULLET-2</v>
      </c>
      <c r="CA12" t="str">
        <f t="shared" si="11"/>
        <v>1 Tütün tabakasi güzel dokulu falan | Braun S | Türkçe)BULLET-3</v>
      </c>
      <c r="CB12" t="str">
        <f t="shared" si="35"/>
        <v>1 Tütün tabakasi güzel dokulu falan | Braun S | Français)</v>
      </c>
      <c r="CC12" s="11" t="s">
        <v>467</v>
      </c>
      <c r="CD12" t="str">
        <f t="shared" si="13"/>
        <v>1 Tütün tabakasi güzel dokulu falan | Braun S | Français)BULLET-1</v>
      </c>
      <c r="CE12" t="str">
        <f t="shared" si="14"/>
        <v>1 Tütün tabakasi güzel dokulu falan | Braun S | Français)BULLET-2</v>
      </c>
      <c r="CF12" t="str">
        <f t="shared" si="15"/>
        <v>1 Tütün tabakasi güzel dokulu falan | Braun S | Français)BULLET-3</v>
      </c>
      <c r="CG12" t="str">
        <f t="shared" si="36"/>
        <v>1 Tütün tabakasi güzel dokulu falan | Braun S | Italiano)</v>
      </c>
      <c r="CH12" s="11" t="s">
        <v>468</v>
      </c>
      <c r="CI12" t="str">
        <f t="shared" si="17"/>
        <v>1 Tütün tabakasi güzel dokulu falan | Braun S | Italiano)BULLET-1</v>
      </c>
      <c r="CJ12" t="str">
        <f t="shared" si="18"/>
        <v>1 Tütün tabakasi güzel dokulu falan | Braun S | Italiano)BULLET-2</v>
      </c>
      <c r="CK12" t="str">
        <f t="shared" si="19"/>
        <v>1 Tütün tabakasi güzel dokulu falan | Braun S | Italiano)BULLET-3</v>
      </c>
      <c r="CL12" t="str">
        <f t="shared" si="37"/>
        <v>1 Tütün tabakasi güzel dokulu falan | Braun S | Español)</v>
      </c>
      <c r="CM12" s="11" t="s">
        <v>469</v>
      </c>
      <c r="CN12" t="str">
        <f t="shared" si="21"/>
        <v>1 Tütün tabakasi güzel dokulu falan | Braun S | Español)BULLET-1</v>
      </c>
      <c r="CO12" t="str">
        <f t="shared" si="22"/>
        <v>1 Tütün tabakasi güzel dokulu falan | Braun S | Español)BULLET-2</v>
      </c>
      <c r="CP12" t="str">
        <f t="shared" si="23"/>
        <v>1 Tütün tabakasi güzel dokulu falan | Braun S | Español)BULLET-3</v>
      </c>
      <c r="CQ12">
        <v>10</v>
      </c>
      <c r="CT12">
        <v>12</v>
      </c>
      <c r="CW12">
        <v>12</v>
      </c>
      <c r="CZ12">
        <v>14</v>
      </c>
      <c r="DC12">
        <v>16</v>
      </c>
      <c r="DF12">
        <v>18</v>
      </c>
      <c r="DI12">
        <f t="shared" si="30"/>
        <v>643</v>
      </c>
      <c r="DO12" t="str">
        <f t="shared" si="24"/>
        <v>1SEO1 Tütün tabakasi güzel dokulu falan | Braun S</v>
      </c>
      <c r="DP12" t="str">
        <f t="shared" si="25"/>
        <v>1SEO1 Tütün tabakasi güzel dokulu falan | Braun S DESCRIPTION</v>
      </c>
      <c r="DQ12" t="str">
        <f t="shared" si="26"/>
        <v>1SEO1 Tütün tabakasi güzel dokulu falan | Braun S KEYWORD</v>
      </c>
    </row>
    <row r="13" spans="1:121" ht="15" customHeight="1" x14ac:dyDescent="0.25">
      <c r="A13" t="s">
        <v>236</v>
      </c>
      <c r="B13" t="s">
        <v>293</v>
      </c>
      <c r="C13" t="s">
        <v>274</v>
      </c>
      <c r="D13" t="s">
        <v>228</v>
      </c>
      <c r="E13" s="9" t="s">
        <v>362</v>
      </c>
      <c r="F13">
        <v>50</v>
      </c>
      <c r="K13">
        <f t="shared" si="31"/>
        <v>58</v>
      </c>
      <c r="L13">
        <v>12</v>
      </c>
      <c r="M13">
        <v>3</v>
      </c>
      <c r="N13">
        <v>8</v>
      </c>
      <c r="O13" s="10" t="s">
        <v>439</v>
      </c>
      <c r="P13" s="10" t="s">
        <v>428</v>
      </c>
      <c r="T13" s="10" t="s">
        <v>450</v>
      </c>
      <c r="V13" t="s">
        <v>282</v>
      </c>
      <c r="X13" t="s">
        <v>239</v>
      </c>
      <c r="AG13" t="s">
        <v>266</v>
      </c>
      <c r="AH13">
        <v>200</v>
      </c>
      <c r="AI13" t="s">
        <v>456</v>
      </c>
      <c r="AJ13" t="s">
        <v>457</v>
      </c>
      <c r="AK13" t="s">
        <v>458</v>
      </c>
      <c r="AL13" t="s">
        <v>459</v>
      </c>
      <c r="AM13" t="s">
        <v>460</v>
      </c>
      <c r="AN13" t="s">
        <v>461</v>
      </c>
      <c r="AO13" t="s">
        <v>462</v>
      </c>
      <c r="AP13" t="s">
        <v>463</v>
      </c>
      <c r="BM13" t="str">
        <f t="shared" si="32"/>
        <v>1 Tütün tabakasi güzel dokulu falan | Rosa S | Deutsch)</v>
      </c>
      <c r="BN13" s="11" t="s">
        <v>464</v>
      </c>
      <c r="BO13" t="str">
        <f t="shared" si="27"/>
        <v>1 Tütün tabakasi güzel dokulu falan | Rosa S | Deutsch)BULLET-1</v>
      </c>
      <c r="BP13" t="str">
        <f t="shared" si="28"/>
        <v>1 Tütün tabakasi güzel dokulu falan | Rosa S | Deutsch)BULLET-2</v>
      </c>
      <c r="BQ13" t="str">
        <f t="shared" si="29"/>
        <v>1 Tütün tabakasi güzel dokulu falan | Rosa S | Deutsch)BULLET-3</v>
      </c>
      <c r="BR13" t="str">
        <f t="shared" si="33"/>
        <v>1 Tütün tabakasi güzel dokulu falan | Rosa S | English)</v>
      </c>
      <c r="BS13" s="11" t="s">
        <v>465</v>
      </c>
      <c r="BT13" t="str">
        <f t="shared" si="5"/>
        <v>1 Tütün tabakasi güzel dokulu falan | Rosa S | English)BULLET-1</v>
      </c>
      <c r="BU13" t="str">
        <f t="shared" si="6"/>
        <v>1 Tütün tabakasi güzel dokulu falan | Rosa S | English)BULLET-2</v>
      </c>
      <c r="BV13" t="str">
        <f t="shared" si="7"/>
        <v>1 Tütün tabakasi güzel dokulu falan | Rosa S | English)BULLET-3</v>
      </c>
      <c r="BW13" t="str">
        <f t="shared" si="34"/>
        <v>1 Tütün tabakasi güzel dokulu falan | Rosa S | Türkçe)</v>
      </c>
      <c r="BX13" s="11" t="s">
        <v>466</v>
      </c>
      <c r="BY13" t="str">
        <f t="shared" si="9"/>
        <v>1 Tütün tabakasi güzel dokulu falan | Rosa S | Türkçe)BULLET-1</v>
      </c>
      <c r="BZ13" t="str">
        <f t="shared" si="10"/>
        <v>1 Tütün tabakasi güzel dokulu falan | Rosa S | Türkçe)BULLET-2</v>
      </c>
      <c r="CA13" t="str">
        <f t="shared" si="11"/>
        <v>1 Tütün tabakasi güzel dokulu falan | Rosa S | Türkçe)BULLET-3</v>
      </c>
      <c r="CB13" t="str">
        <f t="shared" si="35"/>
        <v>1 Tütün tabakasi güzel dokulu falan | Rosa S | Français)</v>
      </c>
      <c r="CC13" s="11" t="s">
        <v>467</v>
      </c>
      <c r="CD13" t="str">
        <f t="shared" si="13"/>
        <v>1 Tütün tabakasi güzel dokulu falan | Rosa S | Français)BULLET-1</v>
      </c>
      <c r="CE13" t="str">
        <f t="shared" si="14"/>
        <v>1 Tütün tabakasi güzel dokulu falan | Rosa S | Français)BULLET-2</v>
      </c>
      <c r="CF13" t="str">
        <f t="shared" si="15"/>
        <v>1 Tütün tabakasi güzel dokulu falan | Rosa S | Français)BULLET-3</v>
      </c>
      <c r="CG13" t="str">
        <f t="shared" si="36"/>
        <v>1 Tütün tabakasi güzel dokulu falan | Rosa S | Italiano)</v>
      </c>
      <c r="CH13" s="11" t="s">
        <v>468</v>
      </c>
      <c r="CI13" t="str">
        <f t="shared" si="17"/>
        <v>1 Tütün tabakasi güzel dokulu falan | Rosa S | Italiano)BULLET-1</v>
      </c>
      <c r="CJ13" t="str">
        <f t="shared" si="18"/>
        <v>1 Tütün tabakasi güzel dokulu falan | Rosa S | Italiano)BULLET-2</v>
      </c>
      <c r="CK13" t="str">
        <f t="shared" si="19"/>
        <v>1 Tütün tabakasi güzel dokulu falan | Rosa S | Italiano)BULLET-3</v>
      </c>
      <c r="CL13" t="str">
        <f t="shared" si="37"/>
        <v>1 Tütün tabakasi güzel dokulu falan | Rosa S | Español)</v>
      </c>
      <c r="CM13" s="11" t="s">
        <v>469</v>
      </c>
      <c r="CN13" t="str">
        <f t="shared" si="21"/>
        <v>1 Tütün tabakasi güzel dokulu falan | Rosa S | Español)BULLET-1</v>
      </c>
      <c r="CO13" t="str">
        <f t="shared" si="22"/>
        <v>1 Tütün tabakasi güzel dokulu falan | Rosa S | Español)BULLET-2</v>
      </c>
      <c r="CP13" t="str">
        <f t="shared" si="23"/>
        <v>1 Tütün tabakasi güzel dokulu falan | Rosa S | Español)BULLET-3</v>
      </c>
      <c r="CQ13">
        <v>10</v>
      </c>
      <c r="CT13">
        <v>12</v>
      </c>
      <c r="CW13">
        <v>12</v>
      </c>
      <c r="CZ13">
        <v>14</v>
      </c>
      <c r="DC13">
        <v>16</v>
      </c>
      <c r="DF13">
        <v>18</v>
      </c>
      <c r="DI13">
        <f t="shared" si="30"/>
        <v>642</v>
      </c>
      <c r="DO13" t="str">
        <f t="shared" si="24"/>
        <v>1SEO1 Tütün tabakasi güzel dokulu falan | Rosa S</v>
      </c>
      <c r="DP13" t="str">
        <f t="shared" si="25"/>
        <v>1SEO1 Tütün tabakasi güzel dokulu falan | Rosa S DESCRIPTION</v>
      </c>
      <c r="DQ13" t="str">
        <f t="shared" si="26"/>
        <v>1SEO1 Tütün tabakasi güzel dokulu falan | Rosa S KEYWORD</v>
      </c>
    </row>
    <row r="14" spans="1:121" ht="15" customHeight="1" x14ac:dyDescent="0.25">
      <c r="A14" t="s">
        <v>236</v>
      </c>
      <c r="B14" t="s">
        <v>294</v>
      </c>
      <c r="C14" t="s">
        <v>274</v>
      </c>
      <c r="D14" t="s">
        <v>228</v>
      </c>
      <c r="E14" s="9" t="s">
        <v>363</v>
      </c>
      <c r="F14">
        <v>50</v>
      </c>
      <c r="K14">
        <f t="shared" si="31"/>
        <v>59</v>
      </c>
      <c r="L14">
        <v>12</v>
      </c>
      <c r="M14">
        <v>3</v>
      </c>
      <c r="N14">
        <v>8</v>
      </c>
      <c r="O14" s="10" t="s">
        <v>427</v>
      </c>
      <c r="P14" s="10" t="s">
        <v>428</v>
      </c>
      <c r="T14" s="10" t="s">
        <v>429</v>
      </c>
      <c r="V14" t="s">
        <v>238</v>
      </c>
      <c r="X14" t="s">
        <v>241</v>
      </c>
      <c r="AG14" t="s">
        <v>266</v>
      </c>
      <c r="AH14">
        <v>200</v>
      </c>
      <c r="AI14" t="s">
        <v>456</v>
      </c>
      <c r="AJ14" t="s">
        <v>457</v>
      </c>
      <c r="AK14" t="s">
        <v>458</v>
      </c>
      <c r="AL14" t="s">
        <v>459</v>
      </c>
      <c r="AM14" t="s">
        <v>460</v>
      </c>
      <c r="AN14" t="s">
        <v>461</v>
      </c>
      <c r="AO14" t="s">
        <v>462</v>
      </c>
      <c r="AP14" t="s">
        <v>463</v>
      </c>
      <c r="BM14" t="str">
        <f t="shared" si="32"/>
        <v>1 Tütün tabakasi güzel dokulu falan | Rot M | Deutsch)</v>
      </c>
      <c r="BN14" s="11" t="s">
        <v>464</v>
      </c>
      <c r="BO14" t="str">
        <f t="shared" si="27"/>
        <v>1 Tütün tabakasi güzel dokulu falan | Rot M | Deutsch)BULLET-1</v>
      </c>
      <c r="BP14" t="str">
        <f t="shared" si="28"/>
        <v>1 Tütün tabakasi güzel dokulu falan | Rot M | Deutsch)BULLET-2</v>
      </c>
      <c r="BQ14" t="str">
        <f t="shared" si="29"/>
        <v>1 Tütün tabakasi güzel dokulu falan | Rot M | Deutsch)BULLET-3</v>
      </c>
      <c r="BR14" t="str">
        <f t="shared" si="33"/>
        <v>1 Tütün tabakasi güzel dokulu falan | Rot M | English)</v>
      </c>
      <c r="BS14" s="11" t="s">
        <v>465</v>
      </c>
      <c r="BT14" t="str">
        <f t="shared" si="5"/>
        <v>1 Tütün tabakasi güzel dokulu falan | Rot M | English)BULLET-1</v>
      </c>
      <c r="BU14" t="str">
        <f t="shared" si="6"/>
        <v>1 Tütün tabakasi güzel dokulu falan | Rot M | English)BULLET-2</v>
      </c>
      <c r="BV14" t="str">
        <f t="shared" si="7"/>
        <v>1 Tütün tabakasi güzel dokulu falan | Rot M | English)BULLET-3</v>
      </c>
      <c r="BW14" t="str">
        <f t="shared" si="34"/>
        <v>1 Tütün tabakasi güzel dokulu falan | Rot M | Türkçe)</v>
      </c>
      <c r="BX14" s="11" t="s">
        <v>466</v>
      </c>
      <c r="BY14" t="str">
        <f t="shared" si="9"/>
        <v>1 Tütün tabakasi güzel dokulu falan | Rot M | Türkçe)BULLET-1</v>
      </c>
      <c r="BZ14" t="str">
        <f t="shared" si="10"/>
        <v>1 Tütün tabakasi güzel dokulu falan | Rot M | Türkçe)BULLET-2</v>
      </c>
      <c r="CA14" t="str">
        <f t="shared" si="11"/>
        <v>1 Tütün tabakasi güzel dokulu falan | Rot M | Türkçe)BULLET-3</v>
      </c>
      <c r="CB14" t="str">
        <f t="shared" si="35"/>
        <v>1 Tütün tabakasi güzel dokulu falan | Rot M | Français)</v>
      </c>
      <c r="CC14" s="11" t="s">
        <v>467</v>
      </c>
      <c r="CD14" t="str">
        <f t="shared" si="13"/>
        <v>1 Tütün tabakasi güzel dokulu falan | Rot M | Français)BULLET-1</v>
      </c>
      <c r="CE14" t="str">
        <f t="shared" si="14"/>
        <v>1 Tütün tabakasi güzel dokulu falan | Rot M | Français)BULLET-2</v>
      </c>
      <c r="CF14" t="str">
        <f t="shared" si="15"/>
        <v>1 Tütün tabakasi güzel dokulu falan | Rot M | Français)BULLET-3</v>
      </c>
      <c r="CG14" t="str">
        <f t="shared" si="36"/>
        <v>1 Tütün tabakasi güzel dokulu falan | Rot M | Italiano)</v>
      </c>
      <c r="CH14" s="11" t="s">
        <v>468</v>
      </c>
      <c r="CI14" t="str">
        <f t="shared" si="17"/>
        <v>1 Tütün tabakasi güzel dokulu falan | Rot M | Italiano)BULLET-1</v>
      </c>
      <c r="CJ14" t="str">
        <f t="shared" si="18"/>
        <v>1 Tütün tabakasi güzel dokulu falan | Rot M | Italiano)BULLET-2</v>
      </c>
      <c r="CK14" t="str">
        <f t="shared" si="19"/>
        <v>1 Tütün tabakasi güzel dokulu falan | Rot M | Italiano)BULLET-3</v>
      </c>
      <c r="CL14" t="str">
        <f t="shared" si="37"/>
        <v>1 Tütün tabakasi güzel dokulu falan | Rot M | Español)</v>
      </c>
      <c r="CM14" s="11" t="s">
        <v>469</v>
      </c>
      <c r="CN14" t="str">
        <f t="shared" si="21"/>
        <v>1 Tütün tabakasi güzel dokulu falan | Rot M | Español)BULLET-1</v>
      </c>
      <c r="CO14" t="str">
        <f t="shared" si="22"/>
        <v>1 Tütün tabakasi güzel dokulu falan | Rot M | Español)BULLET-2</v>
      </c>
      <c r="CP14" t="str">
        <f t="shared" si="23"/>
        <v>1 Tütün tabakasi güzel dokulu falan | Rot M | Español)BULLET-3</v>
      </c>
      <c r="CQ14">
        <v>10</v>
      </c>
      <c r="CT14">
        <v>12</v>
      </c>
      <c r="CW14">
        <v>12</v>
      </c>
      <c r="CZ14">
        <v>14</v>
      </c>
      <c r="DC14">
        <v>16</v>
      </c>
      <c r="DF14">
        <v>18</v>
      </c>
      <c r="DI14">
        <f t="shared" si="30"/>
        <v>641</v>
      </c>
      <c r="DO14" t="str">
        <f t="shared" si="24"/>
        <v>1SEO1 Tütün tabakasi güzel dokulu falan | Rot M</v>
      </c>
      <c r="DP14" t="str">
        <f t="shared" si="25"/>
        <v>1SEO1 Tütün tabakasi güzel dokulu falan | Rot M DESCRIPTION</v>
      </c>
      <c r="DQ14" t="str">
        <f t="shared" si="26"/>
        <v>1SEO1 Tütün tabakasi güzel dokulu falan | Rot M KEYWORD</v>
      </c>
    </row>
    <row r="15" spans="1:121" ht="15" customHeight="1" x14ac:dyDescent="0.25">
      <c r="A15" t="s">
        <v>236</v>
      </c>
      <c r="B15" t="s">
        <v>295</v>
      </c>
      <c r="C15" t="s">
        <v>274</v>
      </c>
      <c r="D15" t="s">
        <v>228</v>
      </c>
      <c r="E15" s="9" t="s">
        <v>364</v>
      </c>
      <c r="F15">
        <v>50</v>
      </c>
      <c r="K15">
        <f t="shared" si="31"/>
        <v>60</v>
      </c>
      <c r="L15">
        <v>12</v>
      </c>
      <c r="M15">
        <v>3</v>
      </c>
      <c r="N15">
        <v>8</v>
      </c>
      <c r="O15" s="10" t="s">
        <v>430</v>
      </c>
      <c r="P15" s="10" t="s">
        <v>428</v>
      </c>
      <c r="T15" s="10" t="s">
        <v>448</v>
      </c>
      <c r="V15" t="s">
        <v>275</v>
      </c>
      <c r="X15" t="s">
        <v>241</v>
      </c>
      <c r="AG15" t="s">
        <v>266</v>
      </c>
      <c r="AH15">
        <v>200</v>
      </c>
      <c r="AI15" t="s">
        <v>456</v>
      </c>
      <c r="AJ15" t="s">
        <v>457</v>
      </c>
      <c r="AK15" t="s">
        <v>458</v>
      </c>
      <c r="AL15" t="s">
        <v>459</v>
      </c>
      <c r="AM15" t="s">
        <v>460</v>
      </c>
      <c r="AN15" t="s">
        <v>461</v>
      </c>
      <c r="AO15" t="s">
        <v>462</v>
      </c>
      <c r="AP15" t="s">
        <v>463</v>
      </c>
      <c r="BM15" t="str">
        <f t="shared" si="32"/>
        <v>1 Tütün tabakasi güzel dokulu falan | Schwarz M | Deutsch)</v>
      </c>
      <c r="BN15" s="11" t="s">
        <v>464</v>
      </c>
      <c r="BO15" t="str">
        <f t="shared" si="27"/>
        <v>1 Tütün tabakasi güzel dokulu falan | Schwarz M | Deutsch)BULLET-1</v>
      </c>
      <c r="BP15" t="str">
        <f t="shared" si="28"/>
        <v>1 Tütün tabakasi güzel dokulu falan | Schwarz M | Deutsch)BULLET-2</v>
      </c>
      <c r="BQ15" t="str">
        <f t="shared" si="29"/>
        <v>1 Tütün tabakasi güzel dokulu falan | Schwarz M | Deutsch)BULLET-3</v>
      </c>
      <c r="BR15" t="str">
        <f t="shared" si="33"/>
        <v>1 Tütün tabakasi güzel dokulu falan | Schwarz M | English)</v>
      </c>
      <c r="BS15" s="11" t="s">
        <v>465</v>
      </c>
      <c r="BT15" t="str">
        <f t="shared" si="5"/>
        <v>1 Tütün tabakasi güzel dokulu falan | Schwarz M | English)BULLET-1</v>
      </c>
      <c r="BU15" t="str">
        <f t="shared" si="6"/>
        <v>1 Tütün tabakasi güzel dokulu falan | Schwarz M | English)BULLET-2</v>
      </c>
      <c r="BV15" t="str">
        <f t="shared" si="7"/>
        <v>1 Tütün tabakasi güzel dokulu falan | Schwarz M | English)BULLET-3</v>
      </c>
      <c r="BW15" t="str">
        <f t="shared" si="34"/>
        <v>1 Tütün tabakasi güzel dokulu falan | Schwarz M | Türkçe)</v>
      </c>
      <c r="BX15" s="11" t="s">
        <v>466</v>
      </c>
      <c r="BY15" t="str">
        <f t="shared" si="9"/>
        <v>1 Tütün tabakasi güzel dokulu falan | Schwarz M | Türkçe)BULLET-1</v>
      </c>
      <c r="BZ15" t="str">
        <f t="shared" si="10"/>
        <v>1 Tütün tabakasi güzel dokulu falan | Schwarz M | Türkçe)BULLET-2</v>
      </c>
      <c r="CA15" t="str">
        <f t="shared" si="11"/>
        <v>1 Tütün tabakasi güzel dokulu falan | Schwarz M | Türkçe)BULLET-3</v>
      </c>
      <c r="CB15" t="str">
        <f t="shared" si="35"/>
        <v>1 Tütün tabakasi güzel dokulu falan | Schwarz M | Français)</v>
      </c>
      <c r="CC15" s="11" t="s">
        <v>467</v>
      </c>
      <c r="CD15" t="str">
        <f t="shared" si="13"/>
        <v>1 Tütün tabakasi güzel dokulu falan | Schwarz M | Français)BULLET-1</v>
      </c>
      <c r="CE15" t="str">
        <f t="shared" si="14"/>
        <v>1 Tütün tabakasi güzel dokulu falan | Schwarz M | Français)BULLET-2</v>
      </c>
      <c r="CF15" t="str">
        <f t="shared" si="15"/>
        <v>1 Tütün tabakasi güzel dokulu falan | Schwarz M | Français)BULLET-3</v>
      </c>
      <c r="CG15" t="str">
        <f t="shared" si="36"/>
        <v>1 Tütün tabakasi güzel dokulu falan | Schwarz M | Italiano)</v>
      </c>
      <c r="CH15" s="11" t="s">
        <v>468</v>
      </c>
      <c r="CI15" t="str">
        <f t="shared" si="17"/>
        <v>1 Tütün tabakasi güzel dokulu falan | Schwarz M | Italiano)BULLET-1</v>
      </c>
      <c r="CJ15" t="str">
        <f t="shared" si="18"/>
        <v>1 Tütün tabakasi güzel dokulu falan | Schwarz M | Italiano)BULLET-2</v>
      </c>
      <c r="CK15" t="str">
        <f t="shared" si="19"/>
        <v>1 Tütün tabakasi güzel dokulu falan | Schwarz M | Italiano)BULLET-3</v>
      </c>
      <c r="CL15" t="str">
        <f t="shared" si="37"/>
        <v>1 Tütün tabakasi güzel dokulu falan | Schwarz M | Español)</v>
      </c>
      <c r="CM15" s="11" t="s">
        <v>469</v>
      </c>
      <c r="CN15" t="str">
        <f t="shared" si="21"/>
        <v>1 Tütün tabakasi güzel dokulu falan | Schwarz M | Español)BULLET-1</v>
      </c>
      <c r="CO15" t="str">
        <f t="shared" si="22"/>
        <v>1 Tütün tabakasi güzel dokulu falan | Schwarz M | Español)BULLET-2</v>
      </c>
      <c r="CP15" t="str">
        <f t="shared" si="23"/>
        <v>1 Tütün tabakasi güzel dokulu falan | Schwarz M | Español)BULLET-3</v>
      </c>
      <c r="CQ15">
        <v>10</v>
      </c>
      <c r="CT15">
        <v>12</v>
      </c>
      <c r="CW15">
        <v>12</v>
      </c>
      <c r="CZ15">
        <v>14</v>
      </c>
      <c r="DC15">
        <v>16</v>
      </c>
      <c r="DF15">
        <v>18</v>
      </c>
      <c r="DI15">
        <f t="shared" si="30"/>
        <v>640</v>
      </c>
      <c r="DO15" t="str">
        <f t="shared" si="24"/>
        <v>1SEO1 Tütün tabakasi güzel dokulu falan | Schwarz M</v>
      </c>
      <c r="DP15" t="str">
        <f t="shared" si="25"/>
        <v>1SEO1 Tütün tabakasi güzel dokulu falan | Schwarz M DESCRIPTION</v>
      </c>
      <c r="DQ15" t="str">
        <f t="shared" si="26"/>
        <v>1SEO1 Tütün tabakasi güzel dokulu falan | Schwarz M KEYWORD</v>
      </c>
    </row>
    <row r="16" spans="1:121" ht="15" customHeight="1" x14ac:dyDescent="0.25">
      <c r="A16" t="s">
        <v>236</v>
      </c>
      <c r="B16" t="s">
        <v>296</v>
      </c>
      <c r="C16" t="s">
        <v>274</v>
      </c>
      <c r="D16" t="s">
        <v>228</v>
      </c>
      <c r="E16" s="9" t="s">
        <v>365</v>
      </c>
      <c r="F16">
        <v>50</v>
      </c>
      <c r="K16">
        <f t="shared" si="31"/>
        <v>61</v>
      </c>
      <c r="L16">
        <v>12</v>
      </c>
      <c r="M16">
        <v>3</v>
      </c>
      <c r="N16">
        <v>8</v>
      </c>
      <c r="O16" s="10" t="s">
        <v>433</v>
      </c>
      <c r="P16" s="10" t="s">
        <v>428</v>
      </c>
      <c r="T16" s="10" t="s">
        <v>452</v>
      </c>
      <c r="V16" t="s">
        <v>276</v>
      </c>
      <c r="X16" t="s">
        <v>241</v>
      </c>
      <c r="AG16" t="s">
        <v>266</v>
      </c>
      <c r="AH16">
        <v>200</v>
      </c>
      <c r="AI16" t="s">
        <v>456</v>
      </c>
      <c r="AJ16" t="s">
        <v>457</v>
      </c>
      <c r="AK16" t="s">
        <v>458</v>
      </c>
      <c r="AL16" t="s">
        <v>459</v>
      </c>
      <c r="AM16" t="s">
        <v>460</v>
      </c>
      <c r="AN16" t="s">
        <v>461</v>
      </c>
      <c r="AO16" t="s">
        <v>462</v>
      </c>
      <c r="AP16" t="s">
        <v>463</v>
      </c>
      <c r="BM16" t="str">
        <f t="shared" si="32"/>
        <v>1 Tütün tabakasi güzel dokulu falan | Weiß M | Deutsch)</v>
      </c>
      <c r="BN16" s="11" t="s">
        <v>464</v>
      </c>
      <c r="BO16" t="str">
        <f t="shared" si="27"/>
        <v>1 Tütün tabakasi güzel dokulu falan | Weiß M | Deutsch)BULLET-1</v>
      </c>
      <c r="BP16" t="str">
        <f t="shared" si="28"/>
        <v>1 Tütün tabakasi güzel dokulu falan | Weiß M | Deutsch)BULLET-2</v>
      </c>
      <c r="BQ16" t="str">
        <f t="shared" si="29"/>
        <v>1 Tütün tabakasi güzel dokulu falan | Weiß M | Deutsch)BULLET-3</v>
      </c>
      <c r="BR16" t="str">
        <f t="shared" si="33"/>
        <v>1 Tütün tabakasi güzel dokulu falan | Weiß M | English)</v>
      </c>
      <c r="BS16" s="11" t="s">
        <v>465</v>
      </c>
      <c r="BT16" t="str">
        <f t="shared" si="5"/>
        <v>1 Tütün tabakasi güzel dokulu falan | Weiß M | English)BULLET-1</v>
      </c>
      <c r="BU16" t="str">
        <f t="shared" si="6"/>
        <v>1 Tütün tabakasi güzel dokulu falan | Weiß M | English)BULLET-2</v>
      </c>
      <c r="BV16" t="str">
        <f t="shared" si="7"/>
        <v>1 Tütün tabakasi güzel dokulu falan | Weiß M | English)BULLET-3</v>
      </c>
      <c r="BW16" t="str">
        <f t="shared" si="34"/>
        <v>1 Tütün tabakasi güzel dokulu falan | Weiß M | Türkçe)</v>
      </c>
      <c r="BX16" s="11" t="s">
        <v>466</v>
      </c>
      <c r="BY16" t="str">
        <f t="shared" si="9"/>
        <v>1 Tütün tabakasi güzel dokulu falan | Weiß M | Türkçe)BULLET-1</v>
      </c>
      <c r="BZ16" t="str">
        <f t="shared" si="10"/>
        <v>1 Tütün tabakasi güzel dokulu falan | Weiß M | Türkçe)BULLET-2</v>
      </c>
      <c r="CA16" t="str">
        <f t="shared" si="11"/>
        <v>1 Tütün tabakasi güzel dokulu falan | Weiß M | Türkçe)BULLET-3</v>
      </c>
      <c r="CB16" t="str">
        <f t="shared" si="35"/>
        <v>1 Tütün tabakasi güzel dokulu falan | Weiß M | Français)</v>
      </c>
      <c r="CC16" s="11" t="s">
        <v>467</v>
      </c>
      <c r="CD16" t="str">
        <f t="shared" si="13"/>
        <v>1 Tütün tabakasi güzel dokulu falan | Weiß M | Français)BULLET-1</v>
      </c>
      <c r="CE16" t="str">
        <f t="shared" si="14"/>
        <v>1 Tütün tabakasi güzel dokulu falan | Weiß M | Français)BULLET-2</v>
      </c>
      <c r="CF16" t="str">
        <f t="shared" si="15"/>
        <v>1 Tütün tabakasi güzel dokulu falan | Weiß M | Français)BULLET-3</v>
      </c>
      <c r="CG16" t="str">
        <f t="shared" si="36"/>
        <v>1 Tütün tabakasi güzel dokulu falan | Weiß M | Italiano)</v>
      </c>
      <c r="CH16" s="11" t="s">
        <v>468</v>
      </c>
      <c r="CI16" t="str">
        <f t="shared" si="17"/>
        <v>1 Tütün tabakasi güzel dokulu falan | Weiß M | Italiano)BULLET-1</v>
      </c>
      <c r="CJ16" t="str">
        <f t="shared" si="18"/>
        <v>1 Tütün tabakasi güzel dokulu falan | Weiß M | Italiano)BULLET-2</v>
      </c>
      <c r="CK16" t="str">
        <f t="shared" si="19"/>
        <v>1 Tütün tabakasi güzel dokulu falan | Weiß M | Italiano)BULLET-3</v>
      </c>
      <c r="CL16" t="str">
        <f t="shared" si="37"/>
        <v>1 Tütün tabakasi güzel dokulu falan | Weiß M | Español)</v>
      </c>
      <c r="CM16" s="11" t="s">
        <v>469</v>
      </c>
      <c r="CN16" t="str">
        <f t="shared" si="21"/>
        <v>1 Tütün tabakasi güzel dokulu falan | Weiß M | Español)BULLET-1</v>
      </c>
      <c r="CO16" t="str">
        <f t="shared" si="22"/>
        <v>1 Tütün tabakasi güzel dokulu falan | Weiß M | Español)BULLET-2</v>
      </c>
      <c r="CP16" t="str">
        <f t="shared" si="23"/>
        <v>1 Tütün tabakasi güzel dokulu falan | Weiß M | Español)BULLET-3</v>
      </c>
      <c r="CQ16">
        <v>10</v>
      </c>
      <c r="CT16">
        <v>12</v>
      </c>
      <c r="CW16">
        <v>12</v>
      </c>
      <c r="CZ16">
        <v>14</v>
      </c>
      <c r="DC16">
        <v>16</v>
      </c>
      <c r="DF16">
        <v>18</v>
      </c>
      <c r="DI16">
        <f t="shared" si="30"/>
        <v>639</v>
      </c>
      <c r="DO16" t="str">
        <f t="shared" si="24"/>
        <v>1SEO1 Tütün tabakasi güzel dokulu falan | Weiß M</v>
      </c>
      <c r="DP16" t="str">
        <f t="shared" si="25"/>
        <v>1SEO1 Tütün tabakasi güzel dokulu falan | Weiß M DESCRIPTION</v>
      </c>
      <c r="DQ16" t="str">
        <f t="shared" si="26"/>
        <v>1SEO1 Tütün tabakasi güzel dokulu falan | Weiß M KEYWORD</v>
      </c>
    </row>
    <row r="17" spans="1:121" ht="15" customHeight="1" x14ac:dyDescent="0.25">
      <c r="A17" t="s">
        <v>236</v>
      </c>
      <c r="B17" t="s">
        <v>297</v>
      </c>
      <c r="C17" t="s">
        <v>274</v>
      </c>
      <c r="D17" t="s">
        <v>228</v>
      </c>
      <c r="E17" s="9" t="s">
        <v>366</v>
      </c>
      <c r="F17">
        <v>50</v>
      </c>
      <c r="K17">
        <f t="shared" si="31"/>
        <v>62</v>
      </c>
      <c r="L17">
        <v>12</v>
      </c>
      <c r="M17">
        <v>3</v>
      </c>
      <c r="N17">
        <v>8</v>
      </c>
      <c r="O17" s="10" t="s">
        <v>434</v>
      </c>
      <c r="P17" s="10" t="s">
        <v>428</v>
      </c>
      <c r="T17" s="10" t="s">
        <v>455</v>
      </c>
      <c r="V17" t="s">
        <v>277</v>
      </c>
      <c r="X17" t="s">
        <v>241</v>
      </c>
      <c r="AG17" t="s">
        <v>266</v>
      </c>
      <c r="AH17">
        <v>200</v>
      </c>
      <c r="AI17" t="s">
        <v>456</v>
      </c>
      <c r="AJ17" t="s">
        <v>457</v>
      </c>
      <c r="AK17" t="s">
        <v>458</v>
      </c>
      <c r="AL17" t="s">
        <v>459</v>
      </c>
      <c r="AM17" t="s">
        <v>460</v>
      </c>
      <c r="AN17" t="s">
        <v>461</v>
      </c>
      <c r="AO17" t="s">
        <v>462</v>
      </c>
      <c r="AP17" t="s">
        <v>463</v>
      </c>
      <c r="BM17" t="str">
        <f t="shared" si="32"/>
        <v>1 Tütün tabakasi güzel dokulu falan | Grün M | Deutsch)</v>
      </c>
      <c r="BN17" s="11" t="s">
        <v>464</v>
      </c>
      <c r="BO17" t="str">
        <f t="shared" si="27"/>
        <v>1 Tütün tabakasi güzel dokulu falan | Grün M | Deutsch)BULLET-1</v>
      </c>
      <c r="BP17" t="str">
        <f t="shared" si="28"/>
        <v>1 Tütün tabakasi güzel dokulu falan | Grün M | Deutsch)BULLET-2</v>
      </c>
      <c r="BQ17" t="str">
        <f t="shared" si="29"/>
        <v>1 Tütün tabakasi güzel dokulu falan | Grün M | Deutsch)BULLET-3</v>
      </c>
      <c r="BR17" t="str">
        <f t="shared" si="33"/>
        <v>1 Tütün tabakasi güzel dokulu falan | Grün M | English)</v>
      </c>
      <c r="BS17" s="11" t="s">
        <v>465</v>
      </c>
      <c r="BT17" t="str">
        <f t="shared" si="5"/>
        <v>1 Tütün tabakasi güzel dokulu falan | Grün M | English)BULLET-1</v>
      </c>
      <c r="BU17" t="str">
        <f t="shared" si="6"/>
        <v>1 Tütün tabakasi güzel dokulu falan | Grün M | English)BULLET-2</v>
      </c>
      <c r="BV17" t="str">
        <f t="shared" si="7"/>
        <v>1 Tütün tabakasi güzel dokulu falan | Grün M | English)BULLET-3</v>
      </c>
      <c r="BW17" t="str">
        <f t="shared" si="34"/>
        <v>1 Tütün tabakasi güzel dokulu falan | Grün M | Türkçe)</v>
      </c>
      <c r="BX17" s="11" t="s">
        <v>466</v>
      </c>
      <c r="BY17" t="str">
        <f t="shared" si="9"/>
        <v>1 Tütün tabakasi güzel dokulu falan | Grün M | Türkçe)BULLET-1</v>
      </c>
      <c r="BZ17" t="str">
        <f t="shared" si="10"/>
        <v>1 Tütün tabakasi güzel dokulu falan | Grün M | Türkçe)BULLET-2</v>
      </c>
      <c r="CA17" t="str">
        <f t="shared" si="11"/>
        <v>1 Tütün tabakasi güzel dokulu falan | Grün M | Türkçe)BULLET-3</v>
      </c>
      <c r="CB17" t="str">
        <f t="shared" si="35"/>
        <v>1 Tütün tabakasi güzel dokulu falan | Grün M | Français)</v>
      </c>
      <c r="CC17" s="11" t="s">
        <v>467</v>
      </c>
      <c r="CD17" t="str">
        <f t="shared" si="13"/>
        <v>1 Tütün tabakasi güzel dokulu falan | Grün M | Français)BULLET-1</v>
      </c>
      <c r="CE17" t="str">
        <f t="shared" si="14"/>
        <v>1 Tütün tabakasi güzel dokulu falan | Grün M | Français)BULLET-2</v>
      </c>
      <c r="CF17" t="str">
        <f t="shared" si="15"/>
        <v>1 Tütün tabakasi güzel dokulu falan | Grün M | Français)BULLET-3</v>
      </c>
      <c r="CG17" t="str">
        <f t="shared" si="36"/>
        <v>1 Tütün tabakasi güzel dokulu falan | Grün M | Italiano)</v>
      </c>
      <c r="CH17" s="11" t="s">
        <v>468</v>
      </c>
      <c r="CI17" t="str">
        <f t="shared" si="17"/>
        <v>1 Tütün tabakasi güzel dokulu falan | Grün M | Italiano)BULLET-1</v>
      </c>
      <c r="CJ17" t="str">
        <f t="shared" si="18"/>
        <v>1 Tütün tabakasi güzel dokulu falan | Grün M | Italiano)BULLET-2</v>
      </c>
      <c r="CK17" t="str">
        <f t="shared" si="19"/>
        <v>1 Tütün tabakasi güzel dokulu falan | Grün M | Italiano)BULLET-3</v>
      </c>
      <c r="CL17" t="str">
        <f t="shared" si="37"/>
        <v>1 Tütün tabakasi güzel dokulu falan | Grün M | Español)</v>
      </c>
      <c r="CM17" s="11" t="s">
        <v>469</v>
      </c>
      <c r="CN17" t="str">
        <f t="shared" si="21"/>
        <v>1 Tütün tabakasi güzel dokulu falan | Grün M | Español)BULLET-1</v>
      </c>
      <c r="CO17" t="str">
        <f t="shared" si="22"/>
        <v>1 Tütün tabakasi güzel dokulu falan | Grün M | Español)BULLET-2</v>
      </c>
      <c r="CP17" t="str">
        <f t="shared" si="23"/>
        <v>1 Tütün tabakasi güzel dokulu falan | Grün M | Español)BULLET-3</v>
      </c>
      <c r="CQ17">
        <v>10</v>
      </c>
      <c r="CT17">
        <v>12</v>
      </c>
      <c r="CW17">
        <v>12</v>
      </c>
      <c r="CZ17">
        <v>14</v>
      </c>
      <c r="DC17">
        <v>16</v>
      </c>
      <c r="DF17">
        <v>18</v>
      </c>
      <c r="DI17">
        <f t="shared" si="30"/>
        <v>638</v>
      </c>
      <c r="DO17" t="str">
        <f t="shared" si="24"/>
        <v>1SEO1 Tütün tabakasi güzel dokulu falan | Grün M</v>
      </c>
      <c r="DP17" t="str">
        <f t="shared" si="25"/>
        <v>1SEO1 Tütün tabakasi güzel dokulu falan | Grün M DESCRIPTION</v>
      </c>
      <c r="DQ17" t="str">
        <f t="shared" si="26"/>
        <v>1SEO1 Tütün tabakasi güzel dokulu falan | Grün M KEYWORD</v>
      </c>
    </row>
    <row r="18" spans="1:121" ht="15" customHeight="1" x14ac:dyDescent="0.25">
      <c r="A18" t="s">
        <v>236</v>
      </c>
      <c r="B18" t="s">
        <v>298</v>
      </c>
      <c r="C18" t="s">
        <v>274</v>
      </c>
      <c r="D18" t="s">
        <v>228</v>
      </c>
      <c r="E18" s="9" t="s">
        <v>367</v>
      </c>
      <c r="F18">
        <v>50</v>
      </c>
      <c r="K18">
        <f t="shared" si="31"/>
        <v>63</v>
      </c>
      <c r="L18">
        <v>12</v>
      </c>
      <c r="M18">
        <v>3</v>
      </c>
      <c r="N18">
        <v>8</v>
      </c>
      <c r="O18" s="10" t="s">
        <v>435</v>
      </c>
      <c r="P18" s="10" t="s">
        <v>428</v>
      </c>
      <c r="T18" s="10" t="s">
        <v>449</v>
      </c>
      <c r="V18" t="s">
        <v>278</v>
      </c>
      <c r="X18" t="s">
        <v>241</v>
      </c>
      <c r="AG18" t="s">
        <v>266</v>
      </c>
      <c r="AH18">
        <v>200</v>
      </c>
      <c r="AI18" t="s">
        <v>456</v>
      </c>
      <c r="AJ18" t="s">
        <v>457</v>
      </c>
      <c r="AK18" t="s">
        <v>458</v>
      </c>
      <c r="AL18" t="s">
        <v>459</v>
      </c>
      <c r="AM18" t="s">
        <v>460</v>
      </c>
      <c r="AN18" t="s">
        <v>461</v>
      </c>
      <c r="AO18" t="s">
        <v>462</v>
      </c>
      <c r="AP18" t="s">
        <v>463</v>
      </c>
      <c r="BM18" t="str">
        <f t="shared" si="32"/>
        <v>1 Tütün tabakasi güzel dokulu falan | Blau M | Deutsch)</v>
      </c>
      <c r="BN18" s="11" t="s">
        <v>464</v>
      </c>
      <c r="BO18" t="str">
        <f t="shared" si="27"/>
        <v>1 Tütün tabakasi güzel dokulu falan | Blau M | Deutsch)BULLET-1</v>
      </c>
      <c r="BP18" t="str">
        <f t="shared" si="28"/>
        <v>1 Tütün tabakasi güzel dokulu falan | Blau M | Deutsch)BULLET-2</v>
      </c>
      <c r="BQ18" t="str">
        <f t="shared" si="29"/>
        <v>1 Tütün tabakasi güzel dokulu falan | Blau M | Deutsch)BULLET-3</v>
      </c>
      <c r="BR18" t="str">
        <f t="shared" si="33"/>
        <v>1 Tütün tabakasi güzel dokulu falan | Blau M | English)</v>
      </c>
      <c r="BS18" s="11" t="s">
        <v>465</v>
      </c>
      <c r="BT18" t="str">
        <f t="shared" si="5"/>
        <v>1 Tütün tabakasi güzel dokulu falan | Blau M | English)BULLET-1</v>
      </c>
      <c r="BU18" t="str">
        <f t="shared" si="6"/>
        <v>1 Tütün tabakasi güzel dokulu falan | Blau M | English)BULLET-2</v>
      </c>
      <c r="BV18" t="str">
        <f t="shared" si="7"/>
        <v>1 Tütün tabakasi güzel dokulu falan | Blau M | English)BULLET-3</v>
      </c>
      <c r="BW18" t="str">
        <f t="shared" si="34"/>
        <v>1 Tütün tabakasi güzel dokulu falan | Blau M | Türkçe)</v>
      </c>
      <c r="BX18" s="11" t="s">
        <v>466</v>
      </c>
      <c r="BY18" t="str">
        <f t="shared" si="9"/>
        <v>1 Tütün tabakasi güzel dokulu falan | Blau M | Türkçe)BULLET-1</v>
      </c>
      <c r="BZ18" t="str">
        <f t="shared" si="10"/>
        <v>1 Tütün tabakasi güzel dokulu falan | Blau M | Türkçe)BULLET-2</v>
      </c>
      <c r="CA18" t="str">
        <f t="shared" si="11"/>
        <v>1 Tütün tabakasi güzel dokulu falan | Blau M | Türkçe)BULLET-3</v>
      </c>
      <c r="CB18" t="str">
        <f t="shared" si="35"/>
        <v>1 Tütün tabakasi güzel dokulu falan | Blau M | Français)</v>
      </c>
      <c r="CC18" s="11" t="s">
        <v>467</v>
      </c>
      <c r="CD18" t="str">
        <f t="shared" si="13"/>
        <v>1 Tütün tabakasi güzel dokulu falan | Blau M | Français)BULLET-1</v>
      </c>
      <c r="CE18" t="str">
        <f t="shared" si="14"/>
        <v>1 Tütün tabakasi güzel dokulu falan | Blau M | Français)BULLET-2</v>
      </c>
      <c r="CF18" t="str">
        <f t="shared" si="15"/>
        <v>1 Tütün tabakasi güzel dokulu falan | Blau M | Français)BULLET-3</v>
      </c>
      <c r="CG18" t="str">
        <f t="shared" si="36"/>
        <v>1 Tütün tabakasi güzel dokulu falan | Blau M | Italiano)</v>
      </c>
      <c r="CH18" s="11" t="s">
        <v>468</v>
      </c>
      <c r="CI18" t="str">
        <f t="shared" si="17"/>
        <v>1 Tütün tabakasi güzel dokulu falan | Blau M | Italiano)BULLET-1</v>
      </c>
      <c r="CJ18" t="str">
        <f t="shared" si="18"/>
        <v>1 Tütün tabakasi güzel dokulu falan | Blau M | Italiano)BULLET-2</v>
      </c>
      <c r="CK18" t="str">
        <f t="shared" si="19"/>
        <v>1 Tütün tabakasi güzel dokulu falan | Blau M | Italiano)BULLET-3</v>
      </c>
      <c r="CL18" t="str">
        <f t="shared" si="37"/>
        <v>1 Tütün tabakasi güzel dokulu falan | Blau M | Español)</v>
      </c>
      <c r="CM18" s="11" t="s">
        <v>469</v>
      </c>
      <c r="CN18" t="str">
        <f t="shared" si="21"/>
        <v>1 Tütün tabakasi güzel dokulu falan | Blau M | Español)BULLET-1</v>
      </c>
      <c r="CO18" t="str">
        <f t="shared" si="22"/>
        <v>1 Tütün tabakasi güzel dokulu falan | Blau M | Español)BULLET-2</v>
      </c>
      <c r="CP18" t="str">
        <f t="shared" si="23"/>
        <v>1 Tütün tabakasi güzel dokulu falan | Blau M | Español)BULLET-3</v>
      </c>
      <c r="CQ18">
        <v>10</v>
      </c>
      <c r="CT18">
        <v>12</v>
      </c>
      <c r="CW18">
        <v>12</v>
      </c>
      <c r="CZ18">
        <v>14</v>
      </c>
      <c r="DC18">
        <v>16</v>
      </c>
      <c r="DF18">
        <v>18</v>
      </c>
      <c r="DI18">
        <f t="shared" si="30"/>
        <v>637</v>
      </c>
      <c r="DO18" t="str">
        <f t="shared" si="24"/>
        <v>1SEO1 Tütün tabakasi güzel dokulu falan | Blau M</v>
      </c>
      <c r="DP18" t="str">
        <f t="shared" si="25"/>
        <v>1SEO1 Tütün tabakasi güzel dokulu falan | Blau M DESCRIPTION</v>
      </c>
      <c r="DQ18" t="str">
        <f t="shared" si="26"/>
        <v>1SEO1 Tütün tabakasi güzel dokulu falan | Blau M KEYWORD</v>
      </c>
    </row>
    <row r="19" spans="1:121" ht="15" customHeight="1" x14ac:dyDescent="0.25">
      <c r="A19" t="s">
        <v>236</v>
      </c>
      <c r="B19" t="s">
        <v>299</v>
      </c>
      <c r="C19" t="s">
        <v>274</v>
      </c>
      <c r="D19" t="s">
        <v>228</v>
      </c>
      <c r="E19" s="9" t="s">
        <v>368</v>
      </c>
      <c r="F19">
        <v>50</v>
      </c>
      <c r="K19">
        <f t="shared" si="31"/>
        <v>64</v>
      </c>
      <c r="L19">
        <v>12</v>
      </c>
      <c r="M19">
        <v>3</v>
      </c>
      <c r="N19">
        <v>8</v>
      </c>
      <c r="O19" s="10" t="s">
        <v>436</v>
      </c>
      <c r="P19" s="10" t="s">
        <v>428</v>
      </c>
      <c r="T19" s="10" t="s">
        <v>454</v>
      </c>
      <c r="V19" t="s">
        <v>279</v>
      </c>
      <c r="X19" t="s">
        <v>241</v>
      </c>
      <c r="AG19" t="s">
        <v>266</v>
      </c>
      <c r="AH19">
        <v>200</v>
      </c>
      <c r="AI19" t="s">
        <v>456</v>
      </c>
      <c r="AJ19" t="s">
        <v>457</v>
      </c>
      <c r="AK19" t="s">
        <v>458</v>
      </c>
      <c r="AL19" t="s">
        <v>459</v>
      </c>
      <c r="AM19" t="s">
        <v>460</v>
      </c>
      <c r="AN19" t="s">
        <v>461</v>
      </c>
      <c r="AO19" t="s">
        <v>462</v>
      </c>
      <c r="AP19" t="s">
        <v>463</v>
      </c>
      <c r="BM19" t="str">
        <f t="shared" si="32"/>
        <v>1 Tütün tabakasi güzel dokulu falan | Gelb M | Deutsch)</v>
      </c>
      <c r="BN19" s="11" t="s">
        <v>464</v>
      </c>
      <c r="BO19" t="str">
        <f t="shared" si="27"/>
        <v>1 Tütün tabakasi güzel dokulu falan | Gelb M | Deutsch)BULLET-1</v>
      </c>
      <c r="BP19" t="str">
        <f t="shared" si="28"/>
        <v>1 Tütün tabakasi güzel dokulu falan | Gelb M | Deutsch)BULLET-2</v>
      </c>
      <c r="BQ19" t="str">
        <f t="shared" si="29"/>
        <v>1 Tütün tabakasi güzel dokulu falan | Gelb M | Deutsch)BULLET-3</v>
      </c>
      <c r="BR19" t="str">
        <f t="shared" si="33"/>
        <v>1 Tütün tabakasi güzel dokulu falan | Gelb M | English)</v>
      </c>
      <c r="BS19" s="11" t="s">
        <v>465</v>
      </c>
      <c r="BT19" t="str">
        <f t="shared" si="5"/>
        <v>1 Tütün tabakasi güzel dokulu falan | Gelb M | English)BULLET-1</v>
      </c>
      <c r="BU19" t="str">
        <f t="shared" si="6"/>
        <v>1 Tütün tabakasi güzel dokulu falan | Gelb M | English)BULLET-2</v>
      </c>
      <c r="BV19" t="str">
        <f t="shared" si="7"/>
        <v>1 Tütün tabakasi güzel dokulu falan | Gelb M | English)BULLET-3</v>
      </c>
      <c r="BW19" t="str">
        <f t="shared" si="34"/>
        <v>1 Tütün tabakasi güzel dokulu falan | Gelb M | Türkçe)</v>
      </c>
      <c r="BX19" s="11" t="s">
        <v>466</v>
      </c>
      <c r="BY19" t="str">
        <f t="shared" si="9"/>
        <v>1 Tütün tabakasi güzel dokulu falan | Gelb M | Türkçe)BULLET-1</v>
      </c>
      <c r="BZ19" t="str">
        <f t="shared" si="10"/>
        <v>1 Tütün tabakasi güzel dokulu falan | Gelb M | Türkçe)BULLET-2</v>
      </c>
      <c r="CA19" t="str">
        <f t="shared" si="11"/>
        <v>1 Tütün tabakasi güzel dokulu falan | Gelb M | Türkçe)BULLET-3</v>
      </c>
      <c r="CB19" t="str">
        <f t="shared" si="35"/>
        <v>1 Tütün tabakasi güzel dokulu falan | Gelb M | Français)</v>
      </c>
      <c r="CC19" s="11" t="s">
        <v>467</v>
      </c>
      <c r="CD19" t="str">
        <f t="shared" si="13"/>
        <v>1 Tütün tabakasi güzel dokulu falan | Gelb M | Français)BULLET-1</v>
      </c>
      <c r="CE19" t="str">
        <f t="shared" si="14"/>
        <v>1 Tütün tabakasi güzel dokulu falan | Gelb M | Français)BULLET-2</v>
      </c>
      <c r="CF19" t="str">
        <f t="shared" si="15"/>
        <v>1 Tütün tabakasi güzel dokulu falan | Gelb M | Français)BULLET-3</v>
      </c>
      <c r="CG19" t="str">
        <f t="shared" si="36"/>
        <v>1 Tütün tabakasi güzel dokulu falan | Gelb M | Italiano)</v>
      </c>
      <c r="CH19" s="11" t="s">
        <v>468</v>
      </c>
      <c r="CI19" t="str">
        <f t="shared" si="17"/>
        <v>1 Tütün tabakasi güzel dokulu falan | Gelb M | Italiano)BULLET-1</v>
      </c>
      <c r="CJ19" t="str">
        <f t="shared" si="18"/>
        <v>1 Tütün tabakasi güzel dokulu falan | Gelb M | Italiano)BULLET-2</v>
      </c>
      <c r="CK19" t="str">
        <f t="shared" si="19"/>
        <v>1 Tütün tabakasi güzel dokulu falan | Gelb M | Italiano)BULLET-3</v>
      </c>
      <c r="CL19" t="str">
        <f t="shared" si="37"/>
        <v>1 Tütün tabakasi güzel dokulu falan | Gelb M | Español)</v>
      </c>
      <c r="CM19" s="11" t="s">
        <v>469</v>
      </c>
      <c r="CN19" t="str">
        <f t="shared" si="21"/>
        <v>1 Tütün tabakasi güzel dokulu falan | Gelb M | Español)BULLET-1</v>
      </c>
      <c r="CO19" t="str">
        <f t="shared" si="22"/>
        <v>1 Tütün tabakasi güzel dokulu falan | Gelb M | Español)BULLET-2</v>
      </c>
      <c r="CP19" t="str">
        <f t="shared" si="23"/>
        <v>1 Tütün tabakasi güzel dokulu falan | Gelb M | Español)BULLET-3</v>
      </c>
      <c r="CQ19">
        <v>10</v>
      </c>
      <c r="CT19">
        <v>12</v>
      </c>
      <c r="CW19">
        <v>12</v>
      </c>
      <c r="CZ19">
        <v>14</v>
      </c>
      <c r="DC19">
        <v>16</v>
      </c>
      <c r="DF19">
        <v>18</v>
      </c>
      <c r="DI19">
        <f t="shared" si="30"/>
        <v>636</v>
      </c>
      <c r="DO19" t="str">
        <f t="shared" si="24"/>
        <v>1SEO1 Tütün tabakasi güzel dokulu falan | Gelb M</v>
      </c>
      <c r="DP19" t="str">
        <f t="shared" si="25"/>
        <v>1SEO1 Tütün tabakasi güzel dokulu falan | Gelb M DESCRIPTION</v>
      </c>
      <c r="DQ19" t="str">
        <f t="shared" si="26"/>
        <v>1SEO1 Tütün tabakasi güzel dokulu falan | Gelb M KEYWORD</v>
      </c>
    </row>
    <row r="20" spans="1:121" ht="15" customHeight="1" x14ac:dyDescent="0.25">
      <c r="A20" t="s">
        <v>236</v>
      </c>
      <c r="B20" t="s">
        <v>300</v>
      </c>
      <c r="C20" t="s">
        <v>274</v>
      </c>
      <c r="D20" t="s">
        <v>228</v>
      </c>
      <c r="E20" s="9" t="s">
        <v>369</v>
      </c>
      <c r="F20">
        <v>50</v>
      </c>
      <c r="K20">
        <f t="shared" si="31"/>
        <v>65</v>
      </c>
      <c r="L20">
        <v>12</v>
      </c>
      <c r="M20">
        <v>3</v>
      </c>
      <c r="N20">
        <v>8</v>
      </c>
      <c r="O20" s="10" t="s">
        <v>437</v>
      </c>
      <c r="P20" s="10" t="s">
        <v>428</v>
      </c>
      <c r="T20" s="10" t="s">
        <v>451</v>
      </c>
      <c r="V20" t="s">
        <v>280</v>
      </c>
      <c r="X20" t="s">
        <v>241</v>
      </c>
      <c r="AG20" t="s">
        <v>266</v>
      </c>
      <c r="AH20">
        <v>200</v>
      </c>
      <c r="AI20" t="s">
        <v>456</v>
      </c>
      <c r="AJ20" t="s">
        <v>457</v>
      </c>
      <c r="AK20" t="s">
        <v>458</v>
      </c>
      <c r="AL20" t="s">
        <v>459</v>
      </c>
      <c r="AM20" t="s">
        <v>460</v>
      </c>
      <c r="AN20" t="s">
        <v>461</v>
      </c>
      <c r="AO20" t="s">
        <v>462</v>
      </c>
      <c r="AP20" t="s">
        <v>463</v>
      </c>
      <c r="BM20" t="str">
        <f t="shared" si="32"/>
        <v>1 Tütün tabakasi güzel dokulu falan | Lila M | Deutsch)</v>
      </c>
      <c r="BN20" s="11" t="s">
        <v>464</v>
      </c>
      <c r="BO20" t="str">
        <f t="shared" si="27"/>
        <v>1 Tütün tabakasi güzel dokulu falan | Lila M | Deutsch)BULLET-1</v>
      </c>
      <c r="BP20" t="str">
        <f t="shared" si="28"/>
        <v>1 Tütün tabakasi güzel dokulu falan | Lila M | Deutsch)BULLET-2</v>
      </c>
      <c r="BQ20" t="str">
        <f t="shared" si="29"/>
        <v>1 Tütün tabakasi güzel dokulu falan | Lila M | Deutsch)BULLET-3</v>
      </c>
      <c r="BR20" t="str">
        <f t="shared" si="33"/>
        <v>1 Tütün tabakasi güzel dokulu falan | Lila M | English)</v>
      </c>
      <c r="BS20" s="11" t="s">
        <v>465</v>
      </c>
      <c r="BT20" t="str">
        <f t="shared" si="5"/>
        <v>1 Tütün tabakasi güzel dokulu falan | Lila M | English)BULLET-1</v>
      </c>
      <c r="BU20" t="str">
        <f t="shared" si="6"/>
        <v>1 Tütün tabakasi güzel dokulu falan | Lila M | English)BULLET-2</v>
      </c>
      <c r="BV20" t="str">
        <f t="shared" si="7"/>
        <v>1 Tütün tabakasi güzel dokulu falan | Lila M | English)BULLET-3</v>
      </c>
      <c r="BW20" t="str">
        <f t="shared" si="34"/>
        <v>1 Tütün tabakasi güzel dokulu falan | Lila M | Türkçe)</v>
      </c>
      <c r="BX20" s="11" t="s">
        <v>466</v>
      </c>
      <c r="BY20" t="str">
        <f t="shared" si="9"/>
        <v>1 Tütün tabakasi güzel dokulu falan | Lila M | Türkçe)BULLET-1</v>
      </c>
      <c r="BZ20" t="str">
        <f t="shared" si="10"/>
        <v>1 Tütün tabakasi güzel dokulu falan | Lila M | Türkçe)BULLET-2</v>
      </c>
      <c r="CA20" t="str">
        <f t="shared" si="11"/>
        <v>1 Tütün tabakasi güzel dokulu falan | Lila M | Türkçe)BULLET-3</v>
      </c>
      <c r="CB20" t="str">
        <f t="shared" si="35"/>
        <v>1 Tütün tabakasi güzel dokulu falan | Lila M | Français)</v>
      </c>
      <c r="CC20" s="11" t="s">
        <v>467</v>
      </c>
      <c r="CD20" t="str">
        <f t="shared" si="13"/>
        <v>1 Tütün tabakasi güzel dokulu falan | Lila M | Français)BULLET-1</v>
      </c>
      <c r="CE20" t="str">
        <f t="shared" si="14"/>
        <v>1 Tütün tabakasi güzel dokulu falan | Lila M | Français)BULLET-2</v>
      </c>
      <c r="CF20" t="str">
        <f t="shared" si="15"/>
        <v>1 Tütün tabakasi güzel dokulu falan | Lila M | Français)BULLET-3</v>
      </c>
      <c r="CG20" t="str">
        <f t="shared" si="36"/>
        <v>1 Tütün tabakasi güzel dokulu falan | Lila M | Italiano)</v>
      </c>
      <c r="CH20" s="11" t="s">
        <v>468</v>
      </c>
      <c r="CI20" t="str">
        <f t="shared" si="17"/>
        <v>1 Tütün tabakasi güzel dokulu falan | Lila M | Italiano)BULLET-1</v>
      </c>
      <c r="CJ20" t="str">
        <f t="shared" si="18"/>
        <v>1 Tütün tabakasi güzel dokulu falan | Lila M | Italiano)BULLET-2</v>
      </c>
      <c r="CK20" t="str">
        <f t="shared" si="19"/>
        <v>1 Tütün tabakasi güzel dokulu falan | Lila M | Italiano)BULLET-3</v>
      </c>
      <c r="CL20" t="str">
        <f t="shared" si="37"/>
        <v>1 Tütün tabakasi güzel dokulu falan | Lila M | Español)</v>
      </c>
      <c r="CM20" s="11" t="s">
        <v>469</v>
      </c>
      <c r="CN20" t="str">
        <f t="shared" si="21"/>
        <v>1 Tütün tabakasi güzel dokulu falan | Lila M | Español)BULLET-1</v>
      </c>
      <c r="CO20" t="str">
        <f t="shared" si="22"/>
        <v>1 Tütün tabakasi güzel dokulu falan | Lila M | Español)BULLET-2</v>
      </c>
      <c r="CP20" t="str">
        <f t="shared" si="23"/>
        <v>1 Tütün tabakasi güzel dokulu falan | Lila M | Español)BULLET-3</v>
      </c>
      <c r="CQ20">
        <v>10</v>
      </c>
      <c r="CT20">
        <v>12</v>
      </c>
      <c r="CW20">
        <v>12</v>
      </c>
      <c r="CZ20">
        <v>14</v>
      </c>
      <c r="DC20">
        <v>16</v>
      </c>
      <c r="DF20">
        <v>18</v>
      </c>
      <c r="DI20">
        <f t="shared" si="30"/>
        <v>635</v>
      </c>
      <c r="DO20" t="str">
        <f t="shared" si="24"/>
        <v>1SEO1 Tütün tabakasi güzel dokulu falan | Lila M</v>
      </c>
      <c r="DP20" t="str">
        <f t="shared" si="25"/>
        <v>1SEO1 Tütün tabakasi güzel dokulu falan | Lila M DESCRIPTION</v>
      </c>
      <c r="DQ20" t="str">
        <f t="shared" si="26"/>
        <v>1SEO1 Tütün tabakasi güzel dokulu falan | Lila M KEYWORD</v>
      </c>
    </row>
    <row r="21" spans="1:121" ht="15" customHeight="1" x14ac:dyDescent="0.25">
      <c r="A21" t="s">
        <v>236</v>
      </c>
      <c r="B21" t="s">
        <v>301</v>
      </c>
      <c r="C21" t="s">
        <v>274</v>
      </c>
      <c r="D21" t="s">
        <v>228</v>
      </c>
      <c r="E21" s="9" t="s">
        <v>370</v>
      </c>
      <c r="F21">
        <v>50</v>
      </c>
      <c r="K21">
        <f t="shared" si="31"/>
        <v>66</v>
      </c>
      <c r="L21">
        <v>12</v>
      </c>
      <c r="M21">
        <v>3</v>
      </c>
      <c r="N21">
        <v>8</v>
      </c>
      <c r="O21" s="10" t="s">
        <v>438</v>
      </c>
      <c r="P21" s="10" t="s">
        <v>428</v>
      </c>
      <c r="T21" s="10" t="s">
        <v>453</v>
      </c>
      <c r="V21" t="s">
        <v>281</v>
      </c>
      <c r="X21" t="s">
        <v>241</v>
      </c>
      <c r="AG21" t="s">
        <v>266</v>
      </c>
      <c r="AH21">
        <v>200</v>
      </c>
      <c r="AI21" t="s">
        <v>456</v>
      </c>
      <c r="AJ21" t="s">
        <v>457</v>
      </c>
      <c r="AK21" t="s">
        <v>458</v>
      </c>
      <c r="AL21" t="s">
        <v>459</v>
      </c>
      <c r="AM21" t="s">
        <v>460</v>
      </c>
      <c r="AN21" t="s">
        <v>461</v>
      </c>
      <c r="AO21" t="s">
        <v>462</v>
      </c>
      <c r="AP21" t="s">
        <v>463</v>
      </c>
      <c r="BM21" t="str">
        <f t="shared" si="32"/>
        <v>1 Tütün tabakasi güzel dokulu falan | Braun M | Deutsch)</v>
      </c>
      <c r="BN21" s="11" t="s">
        <v>464</v>
      </c>
      <c r="BO21" t="str">
        <f t="shared" si="27"/>
        <v>1 Tütün tabakasi güzel dokulu falan | Braun M | Deutsch)BULLET-1</v>
      </c>
      <c r="BP21" t="str">
        <f t="shared" si="28"/>
        <v>1 Tütün tabakasi güzel dokulu falan | Braun M | Deutsch)BULLET-2</v>
      </c>
      <c r="BQ21" t="str">
        <f t="shared" si="29"/>
        <v>1 Tütün tabakasi güzel dokulu falan | Braun M | Deutsch)BULLET-3</v>
      </c>
      <c r="BR21" t="str">
        <f t="shared" si="33"/>
        <v>1 Tütün tabakasi güzel dokulu falan | Braun M | English)</v>
      </c>
      <c r="BS21" s="11" t="s">
        <v>465</v>
      </c>
      <c r="BT21" t="str">
        <f t="shared" si="5"/>
        <v>1 Tütün tabakasi güzel dokulu falan | Braun M | English)BULLET-1</v>
      </c>
      <c r="BU21" t="str">
        <f t="shared" si="6"/>
        <v>1 Tütün tabakasi güzel dokulu falan | Braun M | English)BULLET-2</v>
      </c>
      <c r="BV21" t="str">
        <f t="shared" si="7"/>
        <v>1 Tütün tabakasi güzel dokulu falan | Braun M | English)BULLET-3</v>
      </c>
      <c r="BW21" t="str">
        <f t="shared" si="34"/>
        <v>1 Tütün tabakasi güzel dokulu falan | Braun M | Türkçe)</v>
      </c>
      <c r="BX21" s="11" t="s">
        <v>466</v>
      </c>
      <c r="BY21" t="str">
        <f t="shared" si="9"/>
        <v>1 Tütün tabakasi güzel dokulu falan | Braun M | Türkçe)BULLET-1</v>
      </c>
      <c r="BZ21" t="str">
        <f t="shared" si="10"/>
        <v>1 Tütün tabakasi güzel dokulu falan | Braun M | Türkçe)BULLET-2</v>
      </c>
      <c r="CA21" t="str">
        <f t="shared" si="11"/>
        <v>1 Tütün tabakasi güzel dokulu falan | Braun M | Türkçe)BULLET-3</v>
      </c>
      <c r="CB21" t="str">
        <f t="shared" si="35"/>
        <v>1 Tütün tabakasi güzel dokulu falan | Braun M | Français)</v>
      </c>
      <c r="CC21" s="11" t="s">
        <v>467</v>
      </c>
      <c r="CD21" t="str">
        <f t="shared" si="13"/>
        <v>1 Tütün tabakasi güzel dokulu falan | Braun M | Français)BULLET-1</v>
      </c>
      <c r="CE21" t="str">
        <f t="shared" si="14"/>
        <v>1 Tütün tabakasi güzel dokulu falan | Braun M | Français)BULLET-2</v>
      </c>
      <c r="CF21" t="str">
        <f t="shared" si="15"/>
        <v>1 Tütün tabakasi güzel dokulu falan | Braun M | Français)BULLET-3</v>
      </c>
      <c r="CG21" t="str">
        <f t="shared" si="36"/>
        <v>1 Tütün tabakasi güzel dokulu falan | Braun M | Italiano)</v>
      </c>
      <c r="CH21" s="11" t="s">
        <v>468</v>
      </c>
      <c r="CI21" t="str">
        <f t="shared" si="17"/>
        <v>1 Tütün tabakasi güzel dokulu falan | Braun M | Italiano)BULLET-1</v>
      </c>
      <c r="CJ21" t="str">
        <f t="shared" si="18"/>
        <v>1 Tütün tabakasi güzel dokulu falan | Braun M | Italiano)BULLET-2</v>
      </c>
      <c r="CK21" t="str">
        <f t="shared" si="19"/>
        <v>1 Tütün tabakasi güzel dokulu falan | Braun M | Italiano)BULLET-3</v>
      </c>
      <c r="CL21" t="str">
        <f t="shared" si="37"/>
        <v>1 Tütün tabakasi güzel dokulu falan | Braun M | Español)</v>
      </c>
      <c r="CM21" s="11" t="s">
        <v>469</v>
      </c>
      <c r="CN21" t="str">
        <f t="shared" si="21"/>
        <v>1 Tütün tabakasi güzel dokulu falan | Braun M | Español)BULLET-1</v>
      </c>
      <c r="CO21" t="str">
        <f t="shared" si="22"/>
        <v>1 Tütün tabakasi güzel dokulu falan | Braun M | Español)BULLET-2</v>
      </c>
      <c r="CP21" t="str">
        <f t="shared" si="23"/>
        <v>1 Tütün tabakasi güzel dokulu falan | Braun M | Español)BULLET-3</v>
      </c>
      <c r="CQ21">
        <v>10</v>
      </c>
      <c r="CT21">
        <v>12</v>
      </c>
      <c r="CW21">
        <v>12</v>
      </c>
      <c r="CZ21">
        <v>14</v>
      </c>
      <c r="DC21">
        <v>16</v>
      </c>
      <c r="DF21">
        <v>18</v>
      </c>
      <c r="DI21">
        <f t="shared" si="30"/>
        <v>634</v>
      </c>
      <c r="DO21" t="str">
        <f t="shared" si="24"/>
        <v>1SEO1 Tütün tabakasi güzel dokulu falan | Braun M</v>
      </c>
      <c r="DP21" t="str">
        <f t="shared" si="25"/>
        <v>1SEO1 Tütün tabakasi güzel dokulu falan | Braun M DESCRIPTION</v>
      </c>
      <c r="DQ21" t="str">
        <f t="shared" si="26"/>
        <v>1SEO1 Tütün tabakasi güzel dokulu falan | Braun M KEYWORD</v>
      </c>
    </row>
    <row r="22" spans="1:121" ht="15" customHeight="1" x14ac:dyDescent="0.25">
      <c r="A22" t="s">
        <v>236</v>
      </c>
      <c r="B22" t="s">
        <v>302</v>
      </c>
      <c r="C22" t="s">
        <v>274</v>
      </c>
      <c r="D22" t="s">
        <v>228</v>
      </c>
      <c r="E22" s="9" t="s">
        <v>371</v>
      </c>
      <c r="F22">
        <v>50</v>
      </c>
      <c r="K22">
        <f t="shared" si="31"/>
        <v>67</v>
      </c>
      <c r="L22">
        <v>12</v>
      </c>
      <c r="M22">
        <v>3</v>
      </c>
      <c r="N22">
        <v>8</v>
      </c>
      <c r="O22" s="10" t="s">
        <v>439</v>
      </c>
      <c r="P22" s="10" t="s">
        <v>428</v>
      </c>
      <c r="T22" s="10" t="s">
        <v>450</v>
      </c>
      <c r="V22" t="s">
        <v>282</v>
      </c>
      <c r="X22" t="s">
        <v>241</v>
      </c>
      <c r="AG22" t="s">
        <v>266</v>
      </c>
      <c r="AH22">
        <v>200</v>
      </c>
      <c r="AI22" t="s">
        <v>456</v>
      </c>
      <c r="AJ22" t="s">
        <v>457</v>
      </c>
      <c r="AK22" t="s">
        <v>458</v>
      </c>
      <c r="AL22" t="s">
        <v>459</v>
      </c>
      <c r="AM22" t="s">
        <v>460</v>
      </c>
      <c r="AN22" t="s">
        <v>461</v>
      </c>
      <c r="AO22" t="s">
        <v>462</v>
      </c>
      <c r="AP22" t="s">
        <v>463</v>
      </c>
      <c r="BM22" t="str">
        <f t="shared" si="32"/>
        <v>1 Tütün tabakasi güzel dokulu falan | Rosa M | Deutsch)</v>
      </c>
      <c r="BN22" s="11" t="s">
        <v>464</v>
      </c>
      <c r="BO22" t="str">
        <f t="shared" si="27"/>
        <v>1 Tütün tabakasi güzel dokulu falan | Rosa M | Deutsch)BULLET-1</v>
      </c>
      <c r="BP22" t="str">
        <f t="shared" si="28"/>
        <v>1 Tütün tabakasi güzel dokulu falan | Rosa M | Deutsch)BULLET-2</v>
      </c>
      <c r="BQ22" t="str">
        <f t="shared" si="29"/>
        <v>1 Tütün tabakasi güzel dokulu falan | Rosa M | Deutsch)BULLET-3</v>
      </c>
      <c r="BR22" t="str">
        <f t="shared" si="33"/>
        <v>1 Tütün tabakasi güzel dokulu falan | Rosa M | English)</v>
      </c>
      <c r="BS22" s="11" t="s">
        <v>465</v>
      </c>
      <c r="BT22" t="str">
        <f t="shared" si="5"/>
        <v>1 Tütün tabakasi güzel dokulu falan | Rosa M | English)BULLET-1</v>
      </c>
      <c r="BU22" t="str">
        <f t="shared" si="6"/>
        <v>1 Tütün tabakasi güzel dokulu falan | Rosa M | English)BULLET-2</v>
      </c>
      <c r="BV22" t="str">
        <f t="shared" si="7"/>
        <v>1 Tütün tabakasi güzel dokulu falan | Rosa M | English)BULLET-3</v>
      </c>
      <c r="BW22" t="str">
        <f t="shared" si="34"/>
        <v>1 Tütün tabakasi güzel dokulu falan | Rosa M | Türkçe)</v>
      </c>
      <c r="BX22" s="11" t="s">
        <v>466</v>
      </c>
      <c r="BY22" t="str">
        <f t="shared" si="9"/>
        <v>1 Tütün tabakasi güzel dokulu falan | Rosa M | Türkçe)BULLET-1</v>
      </c>
      <c r="BZ22" t="str">
        <f t="shared" si="10"/>
        <v>1 Tütün tabakasi güzel dokulu falan | Rosa M | Türkçe)BULLET-2</v>
      </c>
      <c r="CA22" t="str">
        <f t="shared" si="11"/>
        <v>1 Tütün tabakasi güzel dokulu falan | Rosa M | Türkçe)BULLET-3</v>
      </c>
      <c r="CB22" t="str">
        <f t="shared" si="35"/>
        <v>1 Tütün tabakasi güzel dokulu falan | Rosa M | Français)</v>
      </c>
      <c r="CC22" s="11" t="s">
        <v>467</v>
      </c>
      <c r="CD22" t="str">
        <f t="shared" si="13"/>
        <v>1 Tütün tabakasi güzel dokulu falan | Rosa M | Français)BULLET-1</v>
      </c>
      <c r="CE22" t="str">
        <f t="shared" si="14"/>
        <v>1 Tütün tabakasi güzel dokulu falan | Rosa M | Français)BULLET-2</v>
      </c>
      <c r="CF22" t="str">
        <f t="shared" si="15"/>
        <v>1 Tütün tabakasi güzel dokulu falan | Rosa M | Français)BULLET-3</v>
      </c>
      <c r="CG22" t="str">
        <f t="shared" si="36"/>
        <v>1 Tütün tabakasi güzel dokulu falan | Rosa M | Italiano)</v>
      </c>
      <c r="CH22" s="11" t="s">
        <v>468</v>
      </c>
      <c r="CI22" t="str">
        <f t="shared" si="17"/>
        <v>1 Tütün tabakasi güzel dokulu falan | Rosa M | Italiano)BULLET-1</v>
      </c>
      <c r="CJ22" t="str">
        <f t="shared" si="18"/>
        <v>1 Tütün tabakasi güzel dokulu falan | Rosa M | Italiano)BULLET-2</v>
      </c>
      <c r="CK22" t="str">
        <f t="shared" si="19"/>
        <v>1 Tütün tabakasi güzel dokulu falan | Rosa M | Italiano)BULLET-3</v>
      </c>
      <c r="CL22" t="str">
        <f t="shared" si="37"/>
        <v>1 Tütün tabakasi güzel dokulu falan | Rosa M | Español)</v>
      </c>
      <c r="CM22" s="11" t="s">
        <v>469</v>
      </c>
      <c r="CN22" t="str">
        <f t="shared" si="21"/>
        <v>1 Tütün tabakasi güzel dokulu falan | Rosa M | Español)BULLET-1</v>
      </c>
      <c r="CO22" t="str">
        <f t="shared" si="22"/>
        <v>1 Tütün tabakasi güzel dokulu falan | Rosa M | Español)BULLET-2</v>
      </c>
      <c r="CP22" t="str">
        <f t="shared" si="23"/>
        <v>1 Tütün tabakasi güzel dokulu falan | Rosa M | Español)BULLET-3</v>
      </c>
      <c r="CQ22">
        <v>10</v>
      </c>
      <c r="CT22">
        <v>12</v>
      </c>
      <c r="CW22">
        <v>12</v>
      </c>
      <c r="CZ22">
        <v>14</v>
      </c>
      <c r="DC22">
        <v>16</v>
      </c>
      <c r="DF22">
        <v>18</v>
      </c>
      <c r="DI22">
        <f t="shared" si="30"/>
        <v>633</v>
      </c>
      <c r="DO22" t="str">
        <f t="shared" si="24"/>
        <v>1SEO1 Tütün tabakasi güzel dokulu falan | Rosa M</v>
      </c>
      <c r="DP22" t="str">
        <f t="shared" si="25"/>
        <v>1SEO1 Tütün tabakasi güzel dokulu falan | Rosa M DESCRIPTION</v>
      </c>
      <c r="DQ22" t="str">
        <f t="shared" si="26"/>
        <v>1SEO1 Tütün tabakasi güzel dokulu falan | Rosa M KEYWORD</v>
      </c>
    </row>
    <row r="23" spans="1:121" ht="15" customHeight="1" x14ac:dyDescent="0.25">
      <c r="A23" t="s">
        <v>236</v>
      </c>
      <c r="B23" t="s">
        <v>303</v>
      </c>
      <c r="C23" t="s">
        <v>274</v>
      </c>
      <c r="D23" t="s">
        <v>228</v>
      </c>
      <c r="E23" s="9" t="s">
        <v>372</v>
      </c>
      <c r="F23">
        <v>50</v>
      </c>
      <c r="K23">
        <f t="shared" si="31"/>
        <v>68</v>
      </c>
      <c r="L23">
        <v>12</v>
      </c>
      <c r="M23">
        <v>3</v>
      </c>
      <c r="N23">
        <v>8</v>
      </c>
      <c r="O23" s="10" t="s">
        <v>427</v>
      </c>
      <c r="P23" s="10" t="s">
        <v>428</v>
      </c>
      <c r="T23" s="10" t="s">
        <v>429</v>
      </c>
      <c r="V23" t="s">
        <v>238</v>
      </c>
      <c r="X23" t="s">
        <v>269</v>
      </c>
      <c r="AG23" t="s">
        <v>266</v>
      </c>
      <c r="AH23">
        <v>200</v>
      </c>
      <c r="AI23" t="s">
        <v>456</v>
      </c>
      <c r="AJ23" t="s">
        <v>457</v>
      </c>
      <c r="AK23" t="s">
        <v>458</v>
      </c>
      <c r="AL23" t="s">
        <v>459</v>
      </c>
      <c r="AM23" t="s">
        <v>460</v>
      </c>
      <c r="AN23" t="s">
        <v>461</v>
      </c>
      <c r="AO23" t="s">
        <v>462</v>
      </c>
      <c r="AP23" t="s">
        <v>463</v>
      </c>
      <c r="BM23" t="str">
        <f t="shared" si="32"/>
        <v>1 Tütün tabakasi güzel dokulu falan | Rot L | Deutsch)</v>
      </c>
      <c r="BN23" s="11" t="s">
        <v>464</v>
      </c>
      <c r="BO23" t="str">
        <f t="shared" si="27"/>
        <v>1 Tütün tabakasi güzel dokulu falan | Rot L | Deutsch)BULLET-1</v>
      </c>
      <c r="BP23" t="str">
        <f t="shared" si="28"/>
        <v>1 Tütün tabakasi güzel dokulu falan | Rot L | Deutsch)BULLET-2</v>
      </c>
      <c r="BQ23" t="str">
        <f t="shared" si="29"/>
        <v>1 Tütün tabakasi güzel dokulu falan | Rot L | Deutsch)BULLET-3</v>
      </c>
      <c r="BR23" t="str">
        <f t="shared" si="33"/>
        <v>1 Tütün tabakasi güzel dokulu falan | Rot L | English)</v>
      </c>
      <c r="BS23" s="11" t="s">
        <v>465</v>
      </c>
      <c r="BT23" t="str">
        <f t="shared" si="5"/>
        <v>1 Tütün tabakasi güzel dokulu falan | Rot L | English)BULLET-1</v>
      </c>
      <c r="BU23" t="str">
        <f t="shared" si="6"/>
        <v>1 Tütün tabakasi güzel dokulu falan | Rot L | English)BULLET-2</v>
      </c>
      <c r="BV23" t="str">
        <f t="shared" si="7"/>
        <v>1 Tütün tabakasi güzel dokulu falan | Rot L | English)BULLET-3</v>
      </c>
      <c r="BW23" t="str">
        <f t="shared" si="34"/>
        <v>1 Tütün tabakasi güzel dokulu falan | Rot L | Türkçe)</v>
      </c>
      <c r="BX23" s="11" t="s">
        <v>466</v>
      </c>
      <c r="BY23" t="str">
        <f t="shared" si="9"/>
        <v>1 Tütün tabakasi güzel dokulu falan | Rot L | Türkçe)BULLET-1</v>
      </c>
      <c r="BZ23" t="str">
        <f t="shared" si="10"/>
        <v>1 Tütün tabakasi güzel dokulu falan | Rot L | Türkçe)BULLET-2</v>
      </c>
      <c r="CA23" t="str">
        <f t="shared" si="11"/>
        <v>1 Tütün tabakasi güzel dokulu falan | Rot L | Türkçe)BULLET-3</v>
      </c>
      <c r="CB23" t="str">
        <f t="shared" si="35"/>
        <v>1 Tütün tabakasi güzel dokulu falan | Rot L | Français)</v>
      </c>
      <c r="CC23" s="11" t="s">
        <v>467</v>
      </c>
      <c r="CD23" t="str">
        <f t="shared" si="13"/>
        <v>1 Tütün tabakasi güzel dokulu falan | Rot L | Français)BULLET-1</v>
      </c>
      <c r="CE23" t="str">
        <f t="shared" si="14"/>
        <v>1 Tütün tabakasi güzel dokulu falan | Rot L | Français)BULLET-2</v>
      </c>
      <c r="CF23" t="str">
        <f t="shared" si="15"/>
        <v>1 Tütün tabakasi güzel dokulu falan | Rot L | Français)BULLET-3</v>
      </c>
      <c r="CG23" t="str">
        <f t="shared" si="36"/>
        <v>1 Tütün tabakasi güzel dokulu falan | Rot L | Italiano)</v>
      </c>
      <c r="CH23" s="11" t="s">
        <v>468</v>
      </c>
      <c r="CI23" t="str">
        <f t="shared" si="17"/>
        <v>1 Tütün tabakasi güzel dokulu falan | Rot L | Italiano)BULLET-1</v>
      </c>
      <c r="CJ23" t="str">
        <f t="shared" si="18"/>
        <v>1 Tütün tabakasi güzel dokulu falan | Rot L | Italiano)BULLET-2</v>
      </c>
      <c r="CK23" t="str">
        <f t="shared" si="19"/>
        <v>1 Tütün tabakasi güzel dokulu falan | Rot L | Italiano)BULLET-3</v>
      </c>
      <c r="CL23" t="str">
        <f t="shared" si="37"/>
        <v>1 Tütün tabakasi güzel dokulu falan | Rot L | Español)</v>
      </c>
      <c r="CM23" s="11" t="s">
        <v>469</v>
      </c>
      <c r="CN23" t="str">
        <f t="shared" si="21"/>
        <v>1 Tütün tabakasi güzel dokulu falan | Rot L | Español)BULLET-1</v>
      </c>
      <c r="CO23" t="str">
        <f t="shared" si="22"/>
        <v>1 Tütün tabakasi güzel dokulu falan | Rot L | Español)BULLET-2</v>
      </c>
      <c r="CP23" t="str">
        <f t="shared" si="23"/>
        <v>1 Tütün tabakasi güzel dokulu falan | Rot L | Español)BULLET-3</v>
      </c>
      <c r="CQ23">
        <v>10</v>
      </c>
      <c r="CT23">
        <v>12</v>
      </c>
      <c r="CW23">
        <v>12</v>
      </c>
      <c r="CZ23">
        <v>14</v>
      </c>
      <c r="DC23">
        <v>16</v>
      </c>
      <c r="DF23">
        <v>18</v>
      </c>
      <c r="DI23">
        <f t="shared" si="30"/>
        <v>632</v>
      </c>
      <c r="DO23" t="str">
        <f t="shared" si="24"/>
        <v>1SEO1 Tütün tabakasi güzel dokulu falan | Rot L</v>
      </c>
      <c r="DP23" t="str">
        <f t="shared" si="25"/>
        <v>1SEO1 Tütün tabakasi güzel dokulu falan | Rot L DESCRIPTION</v>
      </c>
      <c r="DQ23" t="str">
        <f t="shared" si="26"/>
        <v>1SEO1 Tütün tabakasi güzel dokulu falan | Rot L KEYWORD</v>
      </c>
    </row>
    <row r="24" spans="1:121" ht="15" customHeight="1" x14ac:dyDescent="0.25">
      <c r="A24" t="s">
        <v>236</v>
      </c>
      <c r="B24" t="s">
        <v>304</v>
      </c>
      <c r="C24" t="s">
        <v>274</v>
      </c>
      <c r="D24" t="s">
        <v>228</v>
      </c>
      <c r="E24" s="9" t="s">
        <v>373</v>
      </c>
      <c r="F24">
        <v>50</v>
      </c>
      <c r="K24">
        <f t="shared" si="31"/>
        <v>69</v>
      </c>
      <c r="L24">
        <v>12</v>
      </c>
      <c r="M24">
        <v>3</v>
      </c>
      <c r="N24">
        <v>8</v>
      </c>
      <c r="O24" s="10" t="s">
        <v>430</v>
      </c>
      <c r="P24" s="10" t="s">
        <v>428</v>
      </c>
      <c r="T24" s="10" t="s">
        <v>448</v>
      </c>
      <c r="V24" t="s">
        <v>275</v>
      </c>
      <c r="X24" t="s">
        <v>269</v>
      </c>
      <c r="AG24" t="s">
        <v>266</v>
      </c>
      <c r="AH24">
        <v>200</v>
      </c>
      <c r="AI24" t="s">
        <v>456</v>
      </c>
      <c r="AJ24" t="s">
        <v>457</v>
      </c>
      <c r="AK24" t="s">
        <v>458</v>
      </c>
      <c r="AL24" t="s">
        <v>459</v>
      </c>
      <c r="AM24" t="s">
        <v>460</v>
      </c>
      <c r="AN24" t="s">
        <v>461</v>
      </c>
      <c r="AO24" t="s">
        <v>462</v>
      </c>
      <c r="AP24" t="s">
        <v>463</v>
      </c>
      <c r="BM24" t="str">
        <f t="shared" si="32"/>
        <v>1 Tütün tabakasi güzel dokulu falan | Schwarz L | Deutsch)</v>
      </c>
      <c r="BN24" s="11" t="s">
        <v>464</v>
      </c>
      <c r="BO24" t="str">
        <f t="shared" si="27"/>
        <v>1 Tütün tabakasi güzel dokulu falan | Schwarz L | Deutsch)BULLET-1</v>
      </c>
      <c r="BP24" t="str">
        <f t="shared" si="28"/>
        <v>1 Tütün tabakasi güzel dokulu falan | Schwarz L | Deutsch)BULLET-2</v>
      </c>
      <c r="BQ24" t="str">
        <f t="shared" si="29"/>
        <v>1 Tütün tabakasi güzel dokulu falan | Schwarz L | Deutsch)BULLET-3</v>
      </c>
      <c r="BR24" t="str">
        <f t="shared" si="33"/>
        <v>1 Tütün tabakasi güzel dokulu falan | Schwarz L | English)</v>
      </c>
      <c r="BS24" s="11" t="s">
        <v>465</v>
      </c>
      <c r="BT24" t="str">
        <f t="shared" si="5"/>
        <v>1 Tütün tabakasi güzel dokulu falan | Schwarz L | English)BULLET-1</v>
      </c>
      <c r="BU24" t="str">
        <f t="shared" si="6"/>
        <v>1 Tütün tabakasi güzel dokulu falan | Schwarz L | English)BULLET-2</v>
      </c>
      <c r="BV24" t="str">
        <f t="shared" si="7"/>
        <v>1 Tütün tabakasi güzel dokulu falan | Schwarz L | English)BULLET-3</v>
      </c>
      <c r="BW24" t="str">
        <f t="shared" si="34"/>
        <v>1 Tütün tabakasi güzel dokulu falan | Schwarz L | Türkçe)</v>
      </c>
      <c r="BX24" s="11" t="s">
        <v>466</v>
      </c>
      <c r="BY24" t="str">
        <f t="shared" si="9"/>
        <v>1 Tütün tabakasi güzel dokulu falan | Schwarz L | Türkçe)BULLET-1</v>
      </c>
      <c r="BZ24" t="str">
        <f t="shared" si="10"/>
        <v>1 Tütün tabakasi güzel dokulu falan | Schwarz L | Türkçe)BULLET-2</v>
      </c>
      <c r="CA24" t="str">
        <f t="shared" si="11"/>
        <v>1 Tütün tabakasi güzel dokulu falan | Schwarz L | Türkçe)BULLET-3</v>
      </c>
      <c r="CB24" t="str">
        <f t="shared" si="35"/>
        <v>1 Tütün tabakasi güzel dokulu falan | Schwarz L | Français)</v>
      </c>
      <c r="CC24" s="11" t="s">
        <v>467</v>
      </c>
      <c r="CD24" t="str">
        <f t="shared" si="13"/>
        <v>1 Tütün tabakasi güzel dokulu falan | Schwarz L | Français)BULLET-1</v>
      </c>
      <c r="CE24" t="str">
        <f t="shared" si="14"/>
        <v>1 Tütün tabakasi güzel dokulu falan | Schwarz L | Français)BULLET-2</v>
      </c>
      <c r="CF24" t="str">
        <f t="shared" si="15"/>
        <v>1 Tütün tabakasi güzel dokulu falan | Schwarz L | Français)BULLET-3</v>
      </c>
      <c r="CG24" t="str">
        <f t="shared" si="36"/>
        <v>1 Tütün tabakasi güzel dokulu falan | Schwarz L | Italiano)</v>
      </c>
      <c r="CH24" s="11" t="s">
        <v>468</v>
      </c>
      <c r="CI24" t="str">
        <f t="shared" si="17"/>
        <v>1 Tütün tabakasi güzel dokulu falan | Schwarz L | Italiano)BULLET-1</v>
      </c>
      <c r="CJ24" t="str">
        <f t="shared" si="18"/>
        <v>1 Tütün tabakasi güzel dokulu falan | Schwarz L | Italiano)BULLET-2</v>
      </c>
      <c r="CK24" t="str">
        <f t="shared" si="19"/>
        <v>1 Tütün tabakasi güzel dokulu falan | Schwarz L | Italiano)BULLET-3</v>
      </c>
      <c r="CL24" t="str">
        <f t="shared" si="37"/>
        <v>1 Tütün tabakasi güzel dokulu falan | Schwarz L | Español)</v>
      </c>
      <c r="CM24" s="11" t="s">
        <v>469</v>
      </c>
      <c r="CN24" t="str">
        <f t="shared" si="21"/>
        <v>1 Tütün tabakasi güzel dokulu falan | Schwarz L | Español)BULLET-1</v>
      </c>
      <c r="CO24" t="str">
        <f t="shared" si="22"/>
        <v>1 Tütün tabakasi güzel dokulu falan | Schwarz L | Español)BULLET-2</v>
      </c>
      <c r="CP24" t="str">
        <f t="shared" si="23"/>
        <v>1 Tütün tabakasi güzel dokulu falan | Schwarz L | Español)BULLET-3</v>
      </c>
      <c r="CQ24">
        <v>10</v>
      </c>
      <c r="CT24">
        <v>12</v>
      </c>
      <c r="CW24">
        <v>12</v>
      </c>
      <c r="CZ24">
        <v>14</v>
      </c>
      <c r="DC24">
        <v>16</v>
      </c>
      <c r="DF24">
        <v>18</v>
      </c>
      <c r="DI24">
        <f t="shared" si="30"/>
        <v>631</v>
      </c>
      <c r="DO24" t="str">
        <f t="shared" si="24"/>
        <v>1SEO1 Tütün tabakasi güzel dokulu falan | Schwarz L</v>
      </c>
      <c r="DP24" t="str">
        <f t="shared" si="25"/>
        <v>1SEO1 Tütün tabakasi güzel dokulu falan | Schwarz L DESCRIPTION</v>
      </c>
      <c r="DQ24" t="str">
        <f t="shared" si="26"/>
        <v>1SEO1 Tütün tabakasi güzel dokulu falan | Schwarz L KEYWORD</v>
      </c>
    </row>
    <row r="25" spans="1:121" ht="15" customHeight="1" x14ac:dyDescent="0.25">
      <c r="A25" t="s">
        <v>236</v>
      </c>
      <c r="B25" t="s">
        <v>305</v>
      </c>
      <c r="C25" t="s">
        <v>274</v>
      </c>
      <c r="D25" t="s">
        <v>228</v>
      </c>
      <c r="E25" s="9" t="s">
        <v>374</v>
      </c>
      <c r="F25">
        <v>50</v>
      </c>
      <c r="K25">
        <f t="shared" si="31"/>
        <v>70</v>
      </c>
      <c r="L25">
        <v>12</v>
      </c>
      <c r="M25">
        <v>3</v>
      </c>
      <c r="N25">
        <v>8</v>
      </c>
      <c r="O25" s="10" t="s">
        <v>433</v>
      </c>
      <c r="P25" s="10" t="s">
        <v>428</v>
      </c>
      <c r="T25" s="10" t="s">
        <v>452</v>
      </c>
      <c r="V25" t="s">
        <v>276</v>
      </c>
      <c r="X25" t="s">
        <v>269</v>
      </c>
      <c r="AG25" t="s">
        <v>266</v>
      </c>
      <c r="AH25">
        <v>200</v>
      </c>
      <c r="AI25" t="s">
        <v>456</v>
      </c>
      <c r="AJ25" t="s">
        <v>457</v>
      </c>
      <c r="AK25" t="s">
        <v>458</v>
      </c>
      <c r="AL25" t="s">
        <v>459</v>
      </c>
      <c r="AM25" t="s">
        <v>460</v>
      </c>
      <c r="AN25" t="s">
        <v>461</v>
      </c>
      <c r="AO25" t="s">
        <v>462</v>
      </c>
      <c r="AP25" t="s">
        <v>463</v>
      </c>
      <c r="BM25" t="str">
        <f t="shared" si="32"/>
        <v>1 Tütün tabakasi güzel dokulu falan | Weiß L | Deutsch)</v>
      </c>
      <c r="BN25" s="11" t="s">
        <v>464</v>
      </c>
      <c r="BO25" t="str">
        <f t="shared" si="27"/>
        <v>1 Tütün tabakasi güzel dokulu falan | Weiß L | Deutsch)BULLET-1</v>
      </c>
      <c r="BP25" t="str">
        <f t="shared" si="28"/>
        <v>1 Tütün tabakasi güzel dokulu falan | Weiß L | Deutsch)BULLET-2</v>
      </c>
      <c r="BQ25" t="str">
        <f t="shared" si="29"/>
        <v>1 Tütün tabakasi güzel dokulu falan | Weiß L | Deutsch)BULLET-3</v>
      </c>
      <c r="BR25" t="str">
        <f t="shared" si="33"/>
        <v>1 Tütün tabakasi güzel dokulu falan | Weiß L | English)</v>
      </c>
      <c r="BS25" s="11" t="s">
        <v>465</v>
      </c>
      <c r="BT25" t="str">
        <f t="shared" si="5"/>
        <v>1 Tütün tabakasi güzel dokulu falan | Weiß L | English)BULLET-1</v>
      </c>
      <c r="BU25" t="str">
        <f t="shared" si="6"/>
        <v>1 Tütün tabakasi güzel dokulu falan | Weiß L | English)BULLET-2</v>
      </c>
      <c r="BV25" t="str">
        <f t="shared" si="7"/>
        <v>1 Tütün tabakasi güzel dokulu falan | Weiß L | English)BULLET-3</v>
      </c>
      <c r="BW25" t="str">
        <f t="shared" si="34"/>
        <v>1 Tütün tabakasi güzel dokulu falan | Weiß L | Türkçe)</v>
      </c>
      <c r="BX25" s="11" t="s">
        <v>466</v>
      </c>
      <c r="BY25" t="str">
        <f t="shared" si="9"/>
        <v>1 Tütün tabakasi güzel dokulu falan | Weiß L | Türkçe)BULLET-1</v>
      </c>
      <c r="BZ25" t="str">
        <f t="shared" si="10"/>
        <v>1 Tütün tabakasi güzel dokulu falan | Weiß L | Türkçe)BULLET-2</v>
      </c>
      <c r="CA25" t="str">
        <f t="shared" si="11"/>
        <v>1 Tütün tabakasi güzel dokulu falan | Weiß L | Türkçe)BULLET-3</v>
      </c>
      <c r="CB25" t="str">
        <f t="shared" si="35"/>
        <v>1 Tütün tabakasi güzel dokulu falan | Weiß L | Français)</v>
      </c>
      <c r="CC25" s="11" t="s">
        <v>467</v>
      </c>
      <c r="CD25" t="str">
        <f t="shared" si="13"/>
        <v>1 Tütün tabakasi güzel dokulu falan | Weiß L | Français)BULLET-1</v>
      </c>
      <c r="CE25" t="str">
        <f t="shared" si="14"/>
        <v>1 Tütün tabakasi güzel dokulu falan | Weiß L | Français)BULLET-2</v>
      </c>
      <c r="CF25" t="str">
        <f t="shared" si="15"/>
        <v>1 Tütün tabakasi güzel dokulu falan | Weiß L | Français)BULLET-3</v>
      </c>
      <c r="CG25" t="str">
        <f t="shared" si="36"/>
        <v>1 Tütün tabakasi güzel dokulu falan | Weiß L | Italiano)</v>
      </c>
      <c r="CH25" s="11" t="s">
        <v>468</v>
      </c>
      <c r="CI25" t="str">
        <f t="shared" si="17"/>
        <v>1 Tütün tabakasi güzel dokulu falan | Weiß L | Italiano)BULLET-1</v>
      </c>
      <c r="CJ25" t="str">
        <f t="shared" si="18"/>
        <v>1 Tütün tabakasi güzel dokulu falan | Weiß L | Italiano)BULLET-2</v>
      </c>
      <c r="CK25" t="str">
        <f t="shared" si="19"/>
        <v>1 Tütün tabakasi güzel dokulu falan | Weiß L | Italiano)BULLET-3</v>
      </c>
      <c r="CL25" t="str">
        <f t="shared" si="37"/>
        <v>1 Tütün tabakasi güzel dokulu falan | Weiß L | Español)</v>
      </c>
      <c r="CM25" s="11" t="s">
        <v>469</v>
      </c>
      <c r="CN25" t="str">
        <f t="shared" si="21"/>
        <v>1 Tütün tabakasi güzel dokulu falan | Weiß L | Español)BULLET-1</v>
      </c>
      <c r="CO25" t="str">
        <f t="shared" si="22"/>
        <v>1 Tütün tabakasi güzel dokulu falan | Weiß L | Español)BULLET-2</v>
      </c>
      <c r="CP25" t="str">
        <f t="shared" si="23"/>
        <v>1 Tütün tabakasi güzel dokulu falan | Weiß L | Español)BULLET-3</v>
      </c>
      <c r="CQ25">
        <v>10</v>
      </c>
      <c r="CT25">
        <v>12</v>
      </c>
      <c r="CW25">
        <v>12</v>
      </c>
      <c r="CZ25">
        <v>14</v>
      </c>
      <c r="DC25">
        <v>16</v>
      </c>
      <c r="DF25">
        <v>18</v>
      </c>
      <c r="DI25">
        <f t="shared" si="30"/>
        <v>630</v>
      </c>
      <c r="DO25" t="str">
        <f t="shared" si="24"/>
        <v>1SEO1 Tütün tabakasi güzel dokulu falan | Weiß L</v>
      </c>
      <c r="DP25" t="str">
        <f t="shared" si="25"/>
        <v>1SEO1 Tütün tabakasi güzel dokulu falan | Weiß L DESCRIPTION</v>
      </c>
      <c r="DQ25" t="str">
        <f t="shared" si="26"/>
        <v>1SEO1 Tütün tabakasi güzel dokulu falan | Weiß L KEYWORD</v>
      </c>
    </row>
    <row r="26" spans="1:121" ht="15" customHeight="1" x14ac:dyDescent="0.25">
      <c r="A26" t="s">
        <v>236</v>
      </c>
      <c r="B26" t="s">
        <v>306</v>
      </c>
      <c r="C26" t="s">
        <v>274</v>
      </c>
      <c r="D26" t="s">
        <v>228</v>
      </c>
      <c r="E26" s="9" t="s">
        <v>375</v>
      </c>
      <c r="F26">
        <v>50</v>
      </c>
      <c r="K26">
        <f t="shared" si="31"/>
        <v>71</v>
      </c>
      <c r="L26">
        <v>12</v>
      </c>
      <c r="M26">
        <v>3</v>
      </c>
      <c r="N26">
        <v>8</v>
      </c>
      <c r="O26" s="10" t="s">
        <v>434</v>
      </c>
      <c r="P26" s="10" t="s">
        <v>428</v>
      </c>
      <c r="T26" s="10" t="s">
        <v>455</v>
      </c>
      <c r="V26" t="s">
        <v>277</v>
      </c>
      <c r="X26" t="s">
        <v>269</v>
      </c>
      <c r="AG26" t="s">
        <v>266</v>
      </c>
      <c r="AH26">
        <v>200</v>
      </c>
      <c r="AI26" t="s">
        <v>456</v>
      </c>
      <c r="AJ26" t="s">
        <v>457</v>
      </c>
      <c r="AK26" t="s">
        <v>458</v>
      </c>
      <c r="AL26" t="s">
        <v>459</v>
      </c>
      <c r="AM26" t="s">
        <v>460</v>
      </c>
      <c r="AN26" t="s">
        <v>461</v>
      </c>
      <c r="AO26" t="s">
        <v>462</v>
      </c>
      <c r="AP26" t="s">
        <v>463</v>
      </c>
      <c r="BM26" t="str">
        <f t="shared" si="32"/>
        <v>1 Tütün tabakasi güzel dokulu falan | Grün L | Deutsch)</v>
      </c>
      <c r="BN26" s="11" t="s">
        <v>464</v>
      </c>
      <c r="BO26" t="str">
        <f t="shared" si="27"/>
        <v>1 Tütün tabakasi güzel dokulu falan | Grün L | Deutsch)BULLET-1</v>
      </c>
      <c r="BP26" t="str">
        <f t="shared" si="28"/>
        <v>1 Tütün tabakasi güzel dokulu falan | Grün L | Deutsch)BULLET-2</v>
      </c>
      <c r="BQ26" t="str">
        <f t="shared" si="29"/>
        <v>1 Tütün tabakasi güzel dokulu falan | Grün L | Deutsch)BULLET-3</v>
      </c>
      <c r="BR26" t="str">
        <f t="shared" si="33"/>
        <v>1 Tütün tabakasi güzel dokulu falan | Grün L | English)</v>
      </c>
      <c r="BS26" s="11" t="s">
        <v>465</v>
      </c>
      <c r="BT26" t="str">
        <f t="shared" si="5"/>
        <v>1 Tütün tabakasi güzel dokulu falan | Grün L | English)BULLET-1</v>
      </c>
      <c r="BU26" t="str">
        <f t="shared" si="6"/>
        <v>1 Tütün tabakasi güzel dokulu falan | Grün L | English)BULLET-2</v>
      </c>
      <c r="BV26" t="str">
        <f t="shared" si="7"/>
        <v>1 Tütün tabakasi güzel dokulu falan | Grün L | English)BULLET-3</v>
      </c>
      <c r="BW26" t="str">
        <f t="shared" si="34"/>
        <v>1 Tütün tabakasi güzel dokulu falan | Grün L | Türkçe)</v>
      </c>
      <c r="BX26" s="11" t="s">
        <v>466</v>
      </c>
      <c r="BY26" t="str">
        <f t="shared" si="9"/>
        <v>1 Tütün tabakasi güzel dokulu falan | Grün L | Türkçe)BULLET-1</v>
      </c>
      <c r="BZ26" t="str">
        <f t="shared" si="10"/>
        <v>1 Tütün tabakasi güzel dokulu falan | Grün L | Türkçe)BULLET-2</v>
      </c>
      <c r="CA26" t="str">
        <f t="shared" si="11"/>
        <v>1 Tütün tabakasi güzel dokulu falan | Grün L | Türkçe)BULLET-3</v>
      </c>
      <c r="CB26" t="str">
        <f t="shared" si="35"/>
        <v>1 Tütün tabakasi güzel dokulu falan | Grün L | Français)</v>
      </c>
      <c r="CC26" s="11" t="s">
        <v>467</v>
      </c>
      <c r="CD26" t="str">
        <f t="shared" si="13"/>
        <v>1 Tütün tabakasi güzel dokulu falan | Grün L | Français)BULLET-1</v>
      </c>
      <c r="CE26" t="str">
        <f t="shared" si="14"/>
        <v>1 Tütün tabakasi güzel dokulu falan | Grün L | Français)BULLET-2</v>
      </c>
      <c r="CF26" t="str">
        <f t="shared" si="15"/>
        <v>1 Tütün tabakasi güzel dokulu falan | Grün L | Français)BULLET-3</v>
      </c>
      <c r="CG26" t="str">
        <f t="shared" si="36"/>
        <v>1 Tütün tabakasi güzel dokulu falan | Grün L | Italiano)</v>
      </c>
      <c r="CH26" s="11" t="s">
        <v>468</v>
      </c>
      <c r="CI26" t="str">
        <f t="shared" si="17"/>
        <v>1 Tütün tabakasi güzel dokulu falan | Grün L | Italiano)BULLET-1</v>
      </c>
      <c r="CJ26" t="str">
        <f t="shared" si="18"/>
        <v>1 Tütün tabakasi güzel dokulu falan | Grün L | Italiano)BULLET-2</v>
      </c>
      <c r="CK26" t="str">
        <f t="shared" si="19"/>
        <v>1 Tütün tabakasi güzel dokulu falan | Grün L | Italiano)BULLET-3</v>
      </c>
      <c r="CL26" t="str">
        <f t="shared" si="37"/>
        <v>1 Tütün tabakasi güzel dokulu falan | Grün L | Español)</v>
      </c>
      <c r="CM26" s="11" t="s">
        <v>469</v>
      </c>
      <c r="CN26" t="str">
        <f t="shared" si="21"/>
        <v>1 Tütün tabakasi güzel dokulu falan | Grün L | Español)BULLET-1</v>
      </c>
      <c r="CO26" t="str">
        <f t="shared" si="22"/>
        <v>1 Tütün tabakasi güzel dokulu falan | Grün L | Español)BULLET-2</v>
      </c>
      <c r="CP26" t="str">
        <f t="shared" si="23"/>
        <v>1 Tütün tabakasi güzel dokulu falan | Grün L | Español)BULLET-3</v>
      </c>
      <c r="CQ26">
        <v>10</v>
      </c>
      <c r="CT26">
        <v>12</v>
      </c>
      <c r="CW26">
        <v>12</v>
      </c>
      <c r="CZ26">
        <v>14</v>
      </c>
      <c r="DC26">
        <v>16</v>
      </c>
      <c r="DF26">
        <v>18</v>
      </c>
      <c r="DI26">
        <f t="shared" si="30"/>
        <v>629</v>
      </c>
      <c r="DO26" t="str">
        <f t="shared" si="24"/>
        <v>1SEO1 Tütün tabakasi güzel dokulu falan | Grün L</v>
      </c>
      <c r="DP26" t="str">
        <f t="shared" si="25"/>
        <v>1SEO1 Tütün tabakasi güzel dokulu falan | Grün L DESCRIPTION</v>
      </c>
      <c r="DQ26" t="str">
        <f t="shared" si="26"/>
        <v>1SEO1 Tütün tabakasi güzel dokulu falan | Grün L KEYWORD</v>
      </c>
    </row>
    <row r="27" spans="1:121" ht="15" customHeight="1" x14ac:dyDescent="0.25">
      <c r="A27" t="s">
        <v>236</v>
      </c>
      <c r="B27" t="s">
        <v>307</v>
      </c>
      <c r="C27" t="s">
        <v>274</v>
      </c>
      <c r="D27" t="s">
        <v>228</v>
      </c>
      <c r="E27" s="9" t="s">
        <v>376</v>
      </c>
      <c r="F27">
        <v>50</v>
      </c>
      <c r="K27">
        <f t="shared" si="31"/>
        <v>72</v>
      </c>
      <c r="L27">
        <v>12</v>
      </c>
      <c r="M27">
        <v>3</v>
      </c>
      <c r="N27">
        <v>8</v>
      </c>
      <c r="O27" s="10" t="s">
        <v>435</v>
      </c>
      <c r="P27" s="10" t="s">
        <v>428</v>
      </c>
      <c r="T27" s="10" t="s">
        <v>449</v>
      </c>
      <c r="V27" t="s">
        <v>278</v>
      </c>
      <c r="X27" t="s">
        <v>269</v>
      </c>
      <c r="AG27" t="s">
        <v>266</v>
      </c>
      <c r="AH27">
        <v>200</v>
      </c>
      <c r="AI27" t="s">
        <v>456</v>
      </c>
      <c r="AJ27" t="s">
        <v>457</v>
      </c>
      <c r="AK27" t="s">
        <v>458</v>
      </c>
      <c r="AL27" t="s">
        <v>459</v>
      </c>
      <c r="AM27" t="s">
        <v>460</v>
      </c>
      <c r="AN27" t="s">
        <v>461</v>
      </c>
      <c r="AO27" t="s">
        <v>462</v>
      </c>
      <c r="AP27" t="s">
        <v>463</v>
      </c>
      <c r="BM27" t="str">
        <f t="shared" si="32"/>
        <v>1 Tütün tabakasi güzel dokulu falan | Blau L | Deutsch)</v>
      </c>
      <c r="BN27" s="11" t="s">
        <v>464</v>
      </c>
      <c r="BO27" t="str">
        <f t="shared" si="27"/>
        <v>1 Tütün tabakasi güzel dokulu falan | Blau L | Deutsch)BULLET-1</v>
      </c>
      <c r="BP27" t="str">
        <f t="shared" si="28"/>
        <v>1 Tütün tabakasi güzel dokulu falan | Blau L | Deutsch)BULLET-2</v>
      </c>
      <c r="BQ27" t="str">
        <f t="shared" si="29"/>
        <v>1 Tütün tabakasi güzel dokulu falan | Blau L | Deutsch)BULLET-3</v>
      </c>
      <c r="BR27" t="str">
        <f t="shared" si="33"/>
        <v>1 Tütün tabakasi güzel dokulu falan | Blau L | English)</v>
      </c>
      <c r="BS27" s="11" t="s">
        <v>465</v>
      </c>
      <c r="BT27" t="str">
        <f t="shared" si="5"/>
        <v>1 Tütün tabakasi güzel dokulu falan | Blau L | English)BULLET-1</v>
      </c>
      <c r="BU27" t="str">
        <f t="shared" si="6"/>
        <v>1 Tütün tabakasi güzel dokulu falan | Blau L | English)BULLET-2</v>
      </c>
      <c r="BV27" t="str">
        <f t="shared" si="7"/>
        <v>1 Tütün tabakasi güzel dokulu falan | Blau L | English)BULLET-3</v>
      </c>
      <c r="BW27" t="str">
        <f t="shared" si="34"/>
        <v>1 Tütün tabakasi güzel dokulu falan | Blau L | Türkçe)</v>
      </c>
      <c r="BX27" s="11" t="s">
        <v>466</v>
      </c>
      <c r="BY27" t="str">
        <f t="shared" si="9"/>
        <v>1 Tütün tabakasi güzel dokulu falan | Blau L | Türkçe)BULLET-1</v>
      </c>
      <c r="BZ27" t="str">
        <f t="shared" si="10"/>
        <v>1 Tütün tabakasi güzel dokulu falan | Blau L | Türkçe)BULLET-2</v>
      </c>
      <c r="CA27" t="str">
        <f t="shared" si="11"/>
        <v>1 Tütün tabakasi güzel dokulu falan | Blau L | Türkçe)BULLET-3</v>
      </c>
      <c r="CB27" t="str">
        <f t="shared" si="35"/>
        <v>1 Tütün tabakasi güzel dokulu falan | Blau L | Français)</v>
      </c>
      <c r="CC27" s="11" t="s">
        <v>467</v>
      </c>
      <c r="CD27" t="str">
        <f t="shared" si="13"/>
        <v>1 Tütün tabakasi güzel dokulu falan | Blau L | Français)BULLET-1</v>
      </c>
      <c r="CE27" t="str">
        <f t="shared" si="14"/>
        <v>1 Tütün tabakasi güzel dokulu falan | Blau L | Français)BULLET-2</v>
      </c>
      <c r="CF27" t="str">
        <f t="shared" si="15"/>
        <v>1 Tütün tabakasi güzel dokulu falan | Blau L | Français)BULLET-3</v>
      </c>
      <c r="CG27" t="str">
        <f t="shared" si="36"/>
        <v>1 Tütün tabakasi güzel dokulu falan | Blau L | Italiano)</v>
      </c>
      <c r="CH27" s="11" t="s">
        <v>468</v>
      </c>
      <c r="CI27" t="str">
        <f t="shared" si="17"/>
        <v>1 Tütün tabakasi güzel dokulu falan | Blau L | Italiano)BULLET-1</v>
      </c>
      <c r="CJ27" t="str">
        <f t="shared" si="18"/>
        <v>1 Tütün tabakasi güzel dokulu falan | Blau L | Italiano)BULLET-2</v>
      </c>
      <c r="CK27" t="str">
        <f t="shared" si="19"/>
        <v>1 Tütün tabakasi güzel dokulu falan | Blau L | Italiano)BULLET-3</v>
      </c>
      <c r="CL27" t="str">
        <f t="shared" si="37"/>
        <v>1 Tütün tabakasi güzel dokulu falan | Blau L | Español)</v>
      </c>
      <c r="CM27" s="11" t="s">
        <v>469</v>
      </c>
      <c r="CN27" t="str">
        <f t="shared" si="21"/>
        <v>1 Tütün tabakasi güzel dokulu falan | Blau L | Español)BULLET-1</v>
      </c>
      <c r="CO27" t="str">
        <f t="shared" si="22"/>
        <v>1 Tütün tabakasi güzel dokulu falan | Blau L | Español)BULLET-2</v>
      </c>
      <c r="CP27" t="str">
        <f t="shared" si="23"/>
        <v>1 Tütün tabakasi güzel dokulu falan | Blau L | Español)BULLET-3</v>
      </c>
      <c r="CQ27">
        <v>10</v>
      </c>
      <c r="CT27">
        <v>12</v>
      </c>
      <c r="CW27">
        <v>12</v>
      </c>
      <c r="CZ27">
        <v>14</v>
      </c>
      <c r="DC27">
        <v>16</v>
      </c>
      <c r="DF27">
        <v>18</v>
      </c>
      <c r="DI27">
        <f t="shared" si="30"/>
        <v>628</v>
      </c>
      <c r="DO27" t="str">
        <f t="shared" si="24"/>
        <v>1SEO1 Tütün tabakasi güzel dokulu falan | Blau L</v>
      </c>
      <c r="DP27" t="str">
        <f t="shared" si="25"/>
        <v>1SEO1 Tütün tabakasi güzel dokulu falan | Blau L DESCRIPTION</v>
      </c>
      <c r="DQ27" t="str">
        <f t="shared" si="26"/>
        <v>1SEO1 Tütün tabakasi güzel dokulu falan | Blau L KEYWORD</v>
      </c>
    </row>
    <row r="28" spans="1:121" ht="15" customHeight="1" x14ac:dyDescent="0.25">
      <c r="A28" t="s">
        <v>236</v>
      </c>
      <c r="B28" t="s">
        <v>308</v>
      </c>
      <c r="C28" t="s">
        <v>274</v>
      </c>
      <c r="D28" t="s">
        <v>228</v>
      </c>
      <c r="E28" s="9" t="s">
        <v>377</v>
      </c>
      <c r="F28">
        <v>50</v>
      </c>
      <c r="K28">
        <f t="shared" si="31"/>
        <v>73</v>
      </c>
      <c r="L28">
        <v>12</v>
      </c>
      <c r="M28">
        <v>3</v>
      </c>
      <c r="N28">
        <v>8</v>
      </c>
      <c r="O28" s="10" t="s">
        <v>436</v>
      </c>
      <c r="P28" s="10" t="s">
        <v>428</v>
      </c>
      <c r="T28" s="10" t="s">
        <v>454</v>
      </c>
      <c r="V28" t="s">
        <v>279</v>
      </c>
      <c r="X28" t="s">
        <v>269</v>
      </c>
      <c r="AG28" t="s">
        <v>266</v>
      </c>
      <c r="AH28">
        <v>200</v>
      </c>
      <c r="AI28" t="s">
        <v>456</v>
      </c>
      <c r="AJ28" t="s">
        <v>457</v>
      </c>
      <c r="AK28" t="s">
        <v>458</v>
      </c>
      <c r="AL28" t="s">
        <v>459</v>
      </c>
      <c r="AM28" t="s">
        <v>460</v>
      </c>
      <c r="AN28" t="s">
        <v>461</v>
      </c>
      <c r="AO28" t="s">
        <v>462</v>
      </c>
      <c r="AP28" t="s">
        <v>463</v>
      </c>
      <c r="BM28" t="str">
        <f t="shared" si="32"/>
        <v>1 Tütün tabakasi güzel dokulu falan | Gelb L | Deutsch)</v>
      </c>
      <c r="BN28" s="11" t="s">
        <v>464</v>
      </c>
      <c r="BO28" t="str">
        <f t="shared" si="27"/>
        <v>1 Tütün tabakasi güzel dokulu falan | Gelb L | Deutsch)BULLET-1</v>
      </c>
      <c r="BP28" t="str">
        <f t="shared" si="28"/>
        <v>1 Tütün tabakasi güzel dokulu falan | Gelb L | Deutsch)BULLET-2</v>
      </c>
      <c r="BQ28" t="str">
        <f t="shared" si="29"/>
        <v>1 Tütün tabakasi güzel dokulu falan | Gelb L | Deutsch)BULLET-3</v>
      </c>
      <c r="BR28" t="str">
        <f t="shared" si="33"/>
        <v>1 Tütün tabakasi güzel dokulu falan | Gelb L | English)</v>
      </c>
      <c r="BS28" s="11" t="s">
        <v>465</v>
      </c>
      <c r="BT28" t="str">
        <f t="shared" si="5"/>
        <v>1 Tütün tabakasi güzel dokulu falan | Gelb L | English)BULLET-1</v>
      </c>
      <c r="BU28" t="str">
        <f t="shared" si="6"/>
        <v>1 Tütün tabakasi güzel dokulu falan | Gelb L | English)BULLET-2</v>
      </c>
      <c r="BV28" t="str">
        <f t="shared" si="7"/>
        <v>1 Tütün tabakasi güzel dokulu falan | Gelb L | English)BULLET-3</v>
      </c>
      <c r="BW28" t="str">
        <f t="shared" si="34"/>
        <v>1 Tütün tabakasi güzel dokulu falan | Gelb L | Türkçe)</v>
      </c>
      <c r="BX28" s="11" t="s">
        <v>466</v>
      </c>
      <c r="BY28" t="str">
        <f t="shared" si="9"/>
        <v>1 Tütün tabakasi güzel dokulu falan | Gelb L | Türkçe)BULLET-1</v>
      </c>
      <c r="BZ28" t="str">
        <f t="shared" si="10"/>
        <v>1 Tütün tabakasi güzel dokulu falan | Gelb L | Türkçe)BULLET-2</v>
      </c>
      <c r="CA28" t="str">
        <f t="shared" si="11"/>
        <v>1 Tütün tabakasi güzel dokulu falan | Gelb L | Türkçe)BULLET-3</v>
      </c>
      <c r="CB28" t="str">
        <f t="shared" si="35"/>
        <v>1 Tütün tabakasi güzel dokulu falan | Gelb L | Français)</v>
      </c>
      <c r="CC28" s="11" t="s">
        <v>467</v>
      </c>
      <c r="CD28" t="str">
        <f t="shared" si="13"/>
        <v>1 Tütün tabakasi güzel dokulu falan | Gelb L | Français)BULLET-1</v>
      </c>
      <c r="CE28" t="str">
        <f t="shared" si="14"/>
        <v>1 Tütün tabakasi güzel dokulu falan | Gelb L | Français)BULLET-2</v>
      </c>
      <c r="CF28" t="str">
        <f t="shared" si="15"/>
        <v>1 Tütün tabakasi güzel dokulu falan | Gelb L | Français)BULLET-3</v>
      </c>
      <c r="CG28" t="str">
        <f t="shared" si="36"/>
        <v>1 Tütün tabakasi güzel dokulu falan | Gelb L | Italiano)</v>
      </c>
      <c r="CH28" s="11" t="s">
        <v>468</v>
      </c>
      <c r="CI28" t="str">
        <f t="shared" si="17"/>
        <v>1 Tütün tabakasi güzel dokulu falan | Gelb L | Italiano)BULLET-1</v>
      </c>
      <c r="CJ28" t="str">
        <f t="shared" si="18"/>
        <v>1 Tütün tabakasi güzel dokulu falan | Gelb L | Italiano)BULLET-2</v>
      </c>
      <c r="CK28" t="str">
        <f t="shared" si="19"/>
        <v>1 Tütün tabakasi güzel dokulu falan | Gelb L | Italiano)BULLET-3</v>
      </c>
      <c r="CL28" t="str">
        <f t="shared" si="37"/>
        <v>1 Tütün tabakasi güzel dokulu falan | Gelb L | Español)</v>
      </c>
      <c r="CM28" s="11" t="s">
        <v>469</v>
      </c>
      <c r="CN28" t="str">
        <f t="shared" si="21"/>
        <v>1 Tütün tabakasi güzel dokulu falan | Gelb L | Español)BULLET-1</v>
      </c>
      <c r="CO28" t="str">
        <f t="shared" si="22"/>
        <v>1 Tütün tabakasi güzel dokulu falan | Gelb L | Español)BULLET-2</v>
      </c>
      <c r="CP28" t="str">
        <f t="shared" si="23"/>
        <v>1 Tütün tabakasi güzel dokulu falan | Gelb L | Español)BULLET-3</v>
      </c>
      <c r="CQ28">
        <v>10</v>
      </c>
      <c r="CT28">
        <v>12</v>
      </c>
      <c r="CW28">
        <v>12</v>
      </c>
      <c r="CZ28">
        <v>14</v>
      </c>
      <c r="DC28">
        <v>16</v>
      </c>
      <c r="DF28">
        <v>18</v>
      </c>
      <c r="DI28">
        <f t="shared" si="30"/>
        <v>627</v>
      </c>
      <c r="DO28" t="str">
        <f t="shared" si="24"/>
        <v>1SEO1 Tütün tabakasi güzel dokulu falan | Gelb L</v>
      </c>
      <c r="DP28" t="str">
        <f t="shared" si="25"/>
        <v>1SEO1 Tütün tabakasi güzel dokulu falan | Gelb L DESCRIPTION</v>
      </c>
      <c r="DQ28" t="str">
        <f t="shared" si="26"/>
        <v>1SEO1 Tütün tabakasi güzel dokulu falan | Gelb L KEYWORD</v>
      </c>
    </row>
    <row r="29" spans="1:121" ht="15" customHeight="1" x14ac:dyDescent="0.25">
      <c r="A29" t="s">
        <v>236</v>
      </c>
      <c r="B29" t="s">
        <v>309</v>
      </c>
      <c r="C29" t="s">
        <v>274</v>
      </c>
      <c r="D29" t="s">
        <v>228</v>
      </c>
      <c r="E29" s="9" t="s">
        <v>378</v>
      </c>
      <c r="F29">
        <v>50</v>
      </c>
      <c r="K29">
        <f t="shared" si="31"/>
        <v>74</v>
      </c>
      <c r="L29">
        <v>12</v>
      </c>
      <c r="M29">
        <v>3</v>
      </c>
      <c r="N29">
        <v>8</v>
      </c>
      <c r="O29" s="10" t="s">
        <v>437</v>
      </c>
      <c r="P29" s="10" t="s">
        <v>428</v>
      </c>
      <c r="T29" s="10" t="s">
        <v>451</v>
      </c>
      <c r="V29" t="s">
        <v>280</v>
      </c>
      <c r="X29" t="s">
        <v>269</v>
      </c>
      <c r="AG29" t="s">
        <v>266</v>
      </c>
      <c r="AH29">
        <v>200</v>
      </c>
      <c r="AI29" t="s">
        <v>456</v>
      </c>
      <c r="AJ29" t="s">
        <v>457</v>
      </c>
      <c r="AK29" t="s">
        <v>458</v>
      </c>
      <c r="AL29" t="s">
        <v>459</v>
      </c>
      <c r="AM29" t="s">
        <v>460</v>
      </c>
      <c r="AN29" t="s">
        <v>461</v>
      </c>
      <c r="AO29" t="s">
        <v>462</v>
      </c>
      <c r="AP29" t="s">
        <v>463</v>
      </c>
      <c r="BM29" t="str">
        <f t="shared" si="32"/>
        <v>1 Tütün tabakasi güzel dokulu falan | Lila L | Deutsch)</v>
      </c>
      <c r="BN29" s="11" t="s">
        <v>464</v>
      </c>
      <c r="BO29" t="str">
        <f t="shared" si="27"/>
        <v>1 Tütün tabakasi güzel dokulu falan | Lila L | Deutsch)BULLET-1</v>
      </c>
      <c r="BP29" t="str">
        <f t="shared" si="28"/>
        <v>1 Tütün tabakasi güzel dokulu falan | Lila L | Deutsch)BULLET-2</v>
      </c>
      <c r="BQ29" t="str">
        <f t="shared" si="29"/>
        <v>1 Tütün tabakasi güzel dokulu falan | Lila L | Deutsch)BULLET-3</v>
      </c>
      <c r="BR29" t="str">
        <f t="shared" si="33"/>
        <v>1 Tütün tabakasi güzel dokulu falan | Lila L | English)</v>
      </c>
      <c r="BS29" s="11" t="s">
        <v>465</v>
      </c>
      <c r="BT29" t="str">
        <f t="shared" si="5"/>
        <v>1 Tütün tabakasi güzel dokulu falan | Lila L | English)BULLET-1</v>
      </c>
      <c r="BU29" t="str">
        <f t="shared" si="6"/>
        <v>1 Tütün tabakasi güzel dokulu falan | Lila L | English)BULLET-2</v>
      </c>
      <c r="BV29" t="str">
        <f t="shared" si="7"/>
        <v>1 Tütün tabakasi güzel dokulu falan | Lila L | English)BULLET-3</v>
      </c>
      <c r="BW29" t="str">
        <f t="shared" si="34"/>
        <v>1 Tütün tabakasi güzel dokulu falan | Lila L | Türkçe)</v>
      </c>
      <c r="BX29" s="11" t="s">
        <v>466</v>
      </c>
      <c r="BY29" t="str">
        <f t="shared" si="9"/>
        <v>1 Tütün tabakasi güzel dokulu falan | Lila L | Türkçe)BULLET-1</v>
      </c>
      <c r="BZ29" t="str">
        <f t="shared" si="10"/>
        <v>1 Tütün tabakasi güzel dokulu falan | Lila L | Türkçe)BULLET-2</v>
      </c>
      <c r="CA29" t="str">
        <f t="shared" si="11"/>
        <v>1 Tütün tabakasi güzel dokulu falan | Lila L | Türkçe)BULLET-3</v>
      </c>
      <c r="CB29" t="str">
        <f t="shared" si="35"/>
        <v>1 Tütün tabakasi güzel dokulu falan | Lila L | Français)</v>
      </c>
      <c r="CC29" s="11" t="s">
        <v>467</v>
      </c>
      <c r="CD29" t="str">
        <f t="shared" si="13"/>
        <v>1 Tütün tabakasi güzel dokulu falan | Lila L | Français)BULLET-1</v>
      </c>
      <c r="CE29" t="str">
        <f t="shared" si="14"/>
        <v>1 Tütün tabakasi güzel dokulu falan | Lila L | Français)BULLET-2</v>
      </c>
      <c r="CF29" t="str">
        <f t="shared" si="15"/>
        <v>1 Tütün tabakasi güzel dokulu falan | Lila L | Français)BULLET-3</v>
      </c>
      <c r="CG29" t="str">
        <f t="shared" si="36"/>
        <v>1 Tütün tabakasi güzel dokulu falan | Lila L | Italiano)</v>
      </c>
      <c r="CH29" s="11" t="s">
        <v>468</v>
      </c>
      <c r="CI29" t="str">
        <f t="shared" si="17"/>
        <v>1 Tütün tabakasi güzel dokulu falan | Lila L | Italiano)BULLET-1</v>
      </c>
      <c r="CJ29" t="str">
        <f t="shared" si="18"/>
        <v>1 Tütün tabakasi güzel dokulu falan | Lila L | Italiano)BULLET-2</v>
      </c>
      <c r="CK29" t="str">
        <f t="shared" si="19"/>
        <v>1 Tütün tabakasi güzel dokulu falan | Lila L | Italiano)BULLET-3</v>
      </c>
      <c r="CL29" t="str">
        <f t="shared" si="37"/>
        <v>1 Tütün tabakasi güzel dokulu falan | Lila L | Español)</v>
      </c>
      <c r="CM29" s="11" t="s">
        <v>469</v>
      </c>
      <c r="CN29" t="str">
        <f t="shared" si="21"/>
        <v>1 Tütün tabakasi güzel dokulu falan | Lila L | Español)BULLET-1</v>
      </c>
      <c r="CO29" t="str">
        <f t="shared" si="22"/>
        <v>1 Tütün tabakasi güzel dokulu falan | Lila L | Español)BULLET-2</v>
      </c>
      <c r="CP29" t="str">
        <f t="shared" si="23"/>
        <v>1 Tütün tabakasi güzel dokulu falan | Lila L | Español)BULLET-3</v>
      </c>
      <c r="CQ29">
        <v>10</v>
      </c>
      <c r="CT29">
        <v>12</v>
      </c>
      <c r="CW29">
        <v>12</v>
      </c>
      <c r="CZ29">
        <v>14</v>
      </c>
      <c r="DC29">
        <v>16</v>
      </c>
      <c r="DF29">
        <v>18</v>
      </c>
      <c r="DI29">
        <f t="shared" si="30"/>
        <v>626</v>
      </c>
      <c r="DO29" t="str">
        <f t="shared" si="24"/>
        <v>1SEO1 Tütün tabakasi güzel dokulu falan | Lila L</v>
      </c>
      <c r="DP29" t="str">
        <f t="shared" si="25"/>
        <v>1SEO1 Tütün tabakasi güzel dokulu falan | Lila L DESCRIPTION</v>
      </c>
      <c r="DQ29" t="str">
        <f t="shared" si="26"/>
        <v>1SEO1 Tütün tabakasi güzel dokulu falan | Lila L KEYWORD</v>
      </c>
    </row>
    <row r="30" spans="1:121" ht="15" customHeight="1" x14ac:dyDescent="0.25">
      <c r="A30" t="s">
        <v>236</v>
      </c>
      <c r="B30" t="s">
        <v>310</v>
      </c>
      <c r="C30" t="s">
        <v>274</v>
      </c>
      <c r="D30" t="s">
        <v>228</v>
      </c>
      <c r="E30" s="9" t="s">
        <v>379</v>
      </c>
      <c r="F30">
        <v>50</v>
      </c>
      <c r="K30">
        <f t="shared" si="31"/>
        <v>75</v>
      </c>
      <c r="L30">
        <v>12</v>
      </c>
      <c r="M30">
        <v>3</v>
      </c>
      <c r="N30">
        <v>8</v>
      </c>
      <c r="O30" s="10" t="s">
        <v>438</v>
      </c>
      <c r="P30" s="10" t="s">
        <v>428</v>
      </c>
      <c r="T30" s="10" t="s">
        <v>453</v>
      </c>
      <c r="V30" t="s">
        <v>281</v>
      </c>
      <c r="X30" t="s">
        <v>269</v>
      </c>
      <c r="AG30" t="s">
        <v>266</v>
      </c>
      <c r="AH30">
        <v>200</v>
      </c>
      <c r="AI30" t="s">
        <v>456</v>
      </c>
      <c r="AJ30" t="s">
        <v>457</v>
      </c>
      <c r="AK30" t="s">
        <v>458</v>
      </c>
      <c r="AL30" t="s">
        <v>459</v>
      </c>
      <c r="AM30" t="s">
        <v>460</v>
      </c>
      <c r="AN30" t="s">
        <v>461</v>
      </c>
      <c r="AO30" t="s">
        <v>462</v>
      </c>
      <c r="AP30" t="s">
        <v>463</v>
      </c>
      <c r="BM30" t="str">
        <f t="shared" si="32"/>
        <v>1 Tütün tabakasi güzel dokulu falan | Braun L | Deutsch)</v>
      </c>
      <c r="BN30" s="11" t="s">
        <v>464</v>
      </c>
      <c r="BO30" t="str">
        <f t="shared" si="27"/>
        <v>1 Tütün tabakasi güzel dokulu falan | Braun L | Deutsch)BULLET-1</v>
      </c>
      <c r="BP30" t="str">
        <f t="shared" si="28"/>
        <v>1 Tütün tabakasi güzel dokulu falan | Braun L | Deutsch)BULLET-2</v>
      </c>
      <c r="BQ30" t="str">
        <f t="shared" si="29"/>
        <v>1 Tütün tabakasi güzel dokulu falan | Braun L | Deutsch)BULLET-3</v>
      </c>
      <c r="BR30" t="str">
        <f t="shared" si="33"/>
        <v>1 Tütün tabakasi güzel dokulu falan | Braun L | English)</v>
      </c>
      <c r="BS30" s="11" t="s">
        <v>465</v>
      </c>
      <c r="BT30" t="str">
        <f t="shared" si="5"/>
        <v>1 Tütün tabakasi güzel dokulu falan | Braun L | English)BULLET-1</v>
      </c>
      <c r="BU30" t="str">
        <f t="shared" si="6"/>
        <v>1 Tütün tabakasi güzel dokulu falan | Braun L | English)BULLET-2</v>
      </c>
      <c r="BV30" t="str">
        <f t="shared" si="7"/>
        <v>1 Tütün tabakasi güzel dokulu falan | Braun L | English)BULLET-3</v>
      </c>
      <c r="BW30" t="str">
        <f t="shared" si="34"/>
        <v>1 Tütün tabakasi güzel dokulu falan | Braun L | Türkçe)</v>
      </c>
      <c r="BX30" s="11" t="s">
        <v>466</v>
      </c>
      <c r="BY30" t="str">
        <f t="shared" si="9"/>
        <v>1 Tütün tabakasi güzel dokulu falan | Braun L | Türkçe)BULLET-1</v>
      </c>
      <c r="BZ30" t="str">
        <f t="shared" si="10"/>
        <v>1 Tütün tabakasi güzel dokulu falan | Braun L | Türkçe)BULLET-2</v>
      </c>
      <c r="CA30" t="str">
        <f t="shared" si="11"/>
        <v>1 Tütün tabakasi güzel dokulu falan | Braun L | Türkçe)BULLET-3</v>
      </c>
      <c r="CB30" t="str">
        <f t="shared" si="35"/>
        <v>1 Tütün tabakasi güzel dokulu falan | Braun L | Français)</v>
      </c>
      <c r="CC30" s="11" t="s">
        <v>467</v>
      </c>
      <c r="CD30" t="str">
        <f t="shared" si="13"/>
        <v>1 Tütün tabakasi güzel dokulu falan | Braun L | Français)BULLET-1</v>
      </c>
      <c r="CE30" t="str">
        <f t="shared" si="14"/>
        <v>1 Tütün tabakasi güzel dokulu falan | Braun L | Français)BULLET-2</v>
      </c>
      <c r="CF30" t="str">
        <f t="shared" si="15"/>
        <v>1 Tütün tabakasi güzel dokulu falan | Braun L | Français)BULLET-3</v>
      </c>
      <c r="CG30" t="str">
        <f t="shared" si="36"/>
        <v>1 Tütün tabakasi güzel dokulu falan | Braun L | Italiano)</v>
      </c>
      <c r="CH30" s="11" t="s">
        <v>468</v>
      </c>
      <c r="CI30" t="str">
        <f t="shared" si="17"/>
        <v>1 Tütün tabakasi güzel dokulu falan | Braun L | Italiano)BULLET-1</v>
      </c>
      <c r="CJ30" t="str">
        <f t="shared" si="18"/>
        <v>1 Tütün tabakasi güzel dokulu falan | Braun L | Italiano)BULLET-2</v>
      </c>
      <c r="CK30" t="str">
        <f t="shared" si="19"/>
        <v>1 Tütün tabakasi güzel dokulu falan | Braun L | Italiano)BULLET-3</v>
      </c>
      <c r="CL30" t="str">
        <f t="shared" si="37"/>
        <v>1 Tütün tabakasi güzel dokulu falan | Braun L | Español)</v>
      </c>
      <c r="CM30" s="11" t="s">
        <v>469</v>
      </c>
      <c r="CN30" t="str">
        <f t="shared" si="21"/>
        <v>1 Tütün tabakasi güzel dokulu falan | Braun L | Español)BULLET-1</v>
      </c>
      <c r="CO30" t="str">
        <f t="shared" si="22"/>
        <v>1 Tütün tabakasi güzel dokulu falan | Braun L | Español)BULLET-2</v>
      </c>
      <c r="CP30" t="str">
        <f t="shared" si="23"/>
        <v>1 Tütün tabakasi güzel dokulu falan | Braun L | Español)BULLET-3</v>
      </c>
      <c r="CQ30">
        <v>10</v>
      </c>
      <c r="CT30">
        <v>12</v>
      </c>
      <c r="CW30">
        <v>12</v>
      </c>
      <c r="CZ30">
        <v>14</v>
      </c>
      <c r="DC30">
        <v>16</v>
      </c>
      <c r="DF30">
        <v>18</v>
      </c>
      <c r="DI30">
        <f t="shared" si="30"/>
        <v>625</v>
      </c>
      <c r="DO30" t="str">
        <f t="shared" si="24"/>
        <v>1SEO1 Tütün tabakasi güzel dokulu falan | Braun L</v>
      </c>
      <c r="DP30" t="str">
        <f t="shared" si="25"/>
        <v>1SEO1 Tütün tabakasi güzel dokulu falan | Braun L DESCRIPTION</v>
      </c>
      <c r="DQ30" t="str">
        <f t="shared" si="26"/>
        <v>1SEO1 Tütün tabakasi güzel dokulu falan | Braun L KEYWORD</v>
      </c>
    </row>
    <row r="31" spans="1:121" ht="15" customHeight="1" x14ac:dyDescent="0.25">
      <c r="A31" t="s">
        <v>236</v>
      </c>
      <c r="B31" t="s">
        <v>311</v>
      </c>
      <c r="C31" t="s">
        <v>274</v>
      </c>
      <c r="D31" t="s">
        <v>228</v>
      </c>
      <c r="E31" s="9" t="s">
        <v>380</v>
      </c>
      <c r="F31">
        <v>50</v>
      </c>
      <c r="K31">
        <f t="shared" si="31"/>
        <v>76</v>
      </c>
      <c r="L31">
        <v>12</v>
      </c>
      <c r="M31">
        <v>3</v>
      </c>
      <c r="N31">
        <v>8</v>
      </c>
      <c r="O31" s="10" t="s">
        <v>439</v>
      </c>
      <c r="P31" s="10" t="s">
        <v>428</v>
      </c>
      <c r="T31" s="10" t="s">
        <v>450</v>
      </c>
      <c r="V31" t="s">
        <v>282</v>
      </c>
      <c r="X31" t="s">
        <v>269</v>
      </c>
      <c r="AG31" t="s">
        <v>266</v>
      </c>
      <c r="AH31">
        <v>200</v>
      </c>
      <c r="AI31" t="s">
        <v>456</v>
      </c>
      <c r="AJ31" t="s">
        <v>457</v>
      </c>
      <c r="AK31" t="s">
        <v>458</v>
      </c>
      <c r="AL31" t="s">
        <v>459</v>
      </c>
      <c r="AM31" t="s">
        <v>460</v>
      </c>
      <c r="AN31" t="s">
        <v>461</v>
      </c>
      <c r="AO31" t="s">
        <v>462</v>
      </c>
      <c r="AP31" t="s">
        <v>463</v>
      </c>
      <c r="BM31" t="str">
        <f t="shared" si="32"/>
        <v>1 Tütün tabakasi güzel dokulu falan | Rosa L | Deutsch)</v>
      </c>
      <c r="BN31" s="11" t="s">
        <v>464</v>
      </c>
      <c r="BO31" t="str">
        <f t="shared" si="27"/>
        <v>1 Tütün tabakasi güzel dokulu falan | Rosa L | Deutsch)BULLET-1</v>
      </c>
      <c r="BP31" t="str">
        <f t="shared" si="28"/>
        <v>1 Tütün tabakasi güzel dokulu falan | Rosa L | Deutsch)BULLET-2</v>
      </c>
      <c r="BQ31" t="str">
        <f t="shared" si="29"/>
        <v>1 Tütün tabakasi güzel dokulu falan | Rosa L | Deutsch)BULLET-3</v>
      </c>
      <c r="BR31" t="str">
        <f t="shared" si="33"/>
        <v>1 Tütün tabakasi güzel dokulu falan | Rosa L | English)</v>
      </c>
      <c r="BS31" s="11" t="s">
        <v>465</v>
      </c>
      <c r="BT31" t="str">
        <f t="shared" si="5"/>
        <v>1 Tütün tabakasi güzel dokulu falan | Rosa L | English)BULLET-1</v>
      </c>
      <c r="BU31" t="str">
        <f t="shared" si="6"/>
        <v>1 Tütün tabakasi güzel dokulu falan | Rosa L | English)BULLET-2</v>
      </c>
      <c r="BV31" t="str">
        <f t="shared" si="7"/>
        <v>1 Tütün tabakasi güzel dokulu falan | Rosa L | English)BULLET-3</v>
      </c>
      <c r="BW31" t="str">
        <f t="shared" si="34"/>
        <v>1 Tütün tabakasi güzel dokulu falan | Rosa L | Türkçe)</v>
      </c>
      <c r="BX31" s="11" t="s">
        <v>466</v>
      </c>
      <c r="BY31" t="str">
        <f t="shared" si="9"/>
        <v>1 Tütün tabakasi güzel dokulu falan | Rosa L | Türkçe)BULLET-1</v>
      </c>
      <c r="BZ31" t="str">
        <f t="shared" si="10"/>
        <v>1 Tütün tabakasi güzel dokulu falan | Rosa L | Türkçe)BULLET-2</v>
      </c>
      <c r="CA31" t="str">
        <f t="shared" si="11"/>
        <v>1 Tütün tabakasi güzel dokulu falan | Rosa L | Türkçe)BULLET-3</v>
      </c>
      <c r="CB31" t="str">
        <f t="shared" si="35"/>
        <v>1 Tütün tabakasi güzel dokulu falan | Rosa L | Français)</v>
      </c>
      <c r="CC31" s="11" t="s">
        <v>467</v>
      </c>
      <c r="CD31" t="str">
        <f t="shared" si="13"/>
        <v>1 Tütün tabakasi güzel dokulu falan | Rosa L | Français)BULLET-1</v>
      </c>
      <c r="CE31" t="str">
        <f t="shared" si="14"/>
        <v>1 Tütün tabakasi güzel dokulu falan | Rosa L | Français)BULLET-2</v>
      </c>
      <c r="CF31" t="str">
        <f t="shared" si="15"/>
        <v>1 Tütün tabakasi güzel dokulu falan | Rosa L | Français)BULLET-3</v>
      </c>
      <c r="CG31" t="str">
        <f t="shared" si="36"/>
        <v>1 Tütün tabakasi güzel dokulu falan | Rosa L | Italiano)</v>
      </c>
      <c r="CH31" s="11" t="s">
        <v>468</v>
      </c>
      <c r="CI31" t="str">
        <f t="shared" si="17"/>
        <v>1 Tütün tabakasi güzel dokulu falan | Rosa L | Italiano)BULLET-1</v>
      </c>
      <c r="CJ31" t="str">
        <f t="shared" si="18"/>
        <v>1 Tütün tabakasi güzel dokulu falan | Rosa L | Italiano)BULLET-2</v>
      </c>
      <c r="CK31" t="str">
        <f t="shared" si="19"/>
        <v>1 Tütün tabakasi güzel dokulu falan | Rosa L | Italiano)BULLET-3</v>
      </c>
      <c r="CL31" t="str">
        <f t="shared" si="37"/>
        <v>1 Tütün tabakasi güzel dokulu falan | Rosa L | Español)</v>
      </c>
      <c r="CM31" s="11" t="s">
        <v>469</v>
      </c>
      <c r="CN31" t="str">
        <f t="shared" si="21"/>
        <v>1 Tütün tabakasi güzel dokulu falan | Rosa L | Español)BULLET-1</v>
      </c>
      <c r="CO31" t="str">
        <f t="shared" si="22"/>
        <v>1 Tütün tabakasi güzel dokulu falan | Rosa L | Español)BULLET-2</v>
      </c>
      <c r="CP31" t="str">
        <f t="shared" si="23"/>
        <v>1 Tütün tabakasi güzel dokulu falan | Rosa L | Español)BULLET-3</v>
      </c>
      <c r="CQ31">
        <v>10</v>
      </c>
      <c r="CT31">
        <v>12</v>
      </c>
      <c r="CW31">
        <v>12</v>
      </c>
      <c r="CZ31">
        <v>14</v>
      </c>
      <c r="DC31">
        <v>16</v>
      </c>
      <c r="DF31">
        <v>18</v>
      </c>
      <c r="DI31">
        <f t="shared" si="30"/>
        <v>624</v>
      </c>
      <c r="DO31" t="str">
        <f t="shared" si="24"/>
        <v>1SEO1 Tütün tabakasi güzel dokulu falan | Rosa L</v>
      </c>
      <c r="DP31" t="str">
        <f t="shared" si="25"/>
        <v>1SEO1 Tütün tabakasi güzel dokulu falan | Rosa L DESCRIPTION</v>
      </c>
      <c r="DQ31" t="str">
        <f t="shared" si="26"/>
        <v>1SEO1 Tütün tabakasi güzel dokulu falan | Rosa L KEYWORD</v>
      </c>
    </row>
    <row r="32" spans="1:121" ht="15" customHeight="1" x14ac:dyDescent="0.25">
      <c r="A32" t="s">
        <v>236</v>
      </c>
      <c r="B32" t="s">
        <v>312</v>
      </c>
      <c r="C32" t="s">
        <v>274</v>
      </c>
      <c r="D32" t="s">
        <v>228</v>
      </c>
      <c r="E32" s="9" t="s">
        <v>381</v>
      </c>
      <c r="F32">
        <v>50</v>
      </c>
      <c r="K32">
        <f t="shared" si="31"/>
        <v>77</v>
      </c>
      <c r="L32">
        <v>12</v>
      </c>
      <c r="M32">
        <v>3</v>
      </c>
      <c r="N32">
        <v>8</v>
      </c>
      <c r="O32" s="10" t="s">
        <v>427</v>
      </c>
      <c r="P32" s="10" t="s">
        <v>428</v>
      </c>
      <c r="T32" s="10" t="s">
        <v>429</v>
      </c>
      <c r="V32" t="s">
        <v>238</v>
      </c>
      <c r="X32" t="s">
        <v>283</v>
      </c>
      <c r="AG32" t="s">
        <v>266</v>
      </c>
      <c r="AH32">
        <v>200</v>
      </c>
      <c r="AI32" t="s">
        <v>456</v>
      </c>
      <c r="AJ32" t="s">
        <v>457</v>
      </c>
      <c r="AK32" t="s">
        <v>458</v>
      </c>
      <c r="AL32" t="s">
        <v>459</v>
      </c>
      <c r="AM32" t="s">
        <v>460</v>
      </c>
      <c r="AN32" t="s">
        <v>461</v>
      </c>
      <c r="AO32" t="s">
        <v>462</v>
      </c>
      <c r="AP32" t="s">
        <v>463</v>
      </c>
      <c r="BM32" t="str">
        <f t="shared" si="32"/>
        <v>1 Tütün tabakasi güzel dokulu falan | Rot XL | Deutsch)</v>
      </c>
      <c r="BN32" s="11" t="s">
        <v>464</v>
      </c>
      <c r="BO32" t="str">
        <f t="shared" si="27"/>
        <v>1 Tütün tabakasi güzel dokulu falan | Rot XL | Deutsch)BULLET-1</v>
      </c>
      <c r="BP32" t="str">
        <f t="shared" si="28"/>
        <v>1 Tütün tabakasi güzel dokulu falan | Rot XL | Deutsch)BULLET-2</v>
      </c>
      <c r="BQ32" t="str">
        <f t="shared" si="29"/>
        <v>1 Tütün tabakasi güzel dokulu falan | Rot XL | Deutsch)BULLET-3</v>
      </c>
      <c r="BR32" t="str">
        <f t="shared" si="33"/>
        <v>1 Tütün tabakasi güzel dokulu falan | Rot XL | English)</v>
      </c>
      <c r="BS32" s="11" t="s">
        <v>465</v>
      </c>
      <c r="BT32" t="str">
        <f t="shared" si="5"/>
        <v>1 Tütün tabakasi güzel dokulu falan | Rot XL | English)BULLET-1</v>
      </c>
      <c r="BU32" t="str">
        <f t="shared" si="6"/>
        <v>1 Tütün tabakasi güzel dokulu falan | Rot XL | English)BULLET-2</v>
      </c>
      <c r="BV32" t="str">
        <f t="shared" si="7"/>
        <v>1 Tütün tabakasi güzel dokulu falan | Rot XL | English)BULLET-3</v>
      </c>
      <c r="BW32" t="str">
        <f t="shared" si="34"/>
        <v>1 Tütün tabakasi güzel dokulu falan | Rot XL | Türkçe)</v>
      </c>
      <c r="BX32" s="11" t="s">
        <v>466</v>
      </c>
      <c r="BY32" t="str">
        <f t="shared" si="9"/>
        <v>1 Tütün tabakasi güzel dokulu falan | Rot XL | Türkçe)BULLET-1</v>
      </c>
      <c r="BZ32" t="str">
        <f t="shared" si="10"/>
        <v>1 Tütün tabakasi güzel dokulu falan | Rot XL | Türkçe)BULLET-2</v>
      </c>
      <c r="CA32" t="str">
        <f t="shared" si="11"/>
        <v>1 Tütün tabakasi güzel dokulu falan | Rot XL | Türkçe)BULLET-3</v>
      </c>
      <c r="CB32" t="str">
        <f t="shared" si="35"/>
        <v>1 Tütün tabakasi güzel dokulu falan | Rot XL | Français)</v>
      </c>
      <c r="CC32" s="11" t="s">
        <v>467</v>
      </c>
      <c r="CD32" t="str">
        <f t="shared" si="13"/>
        <v>1 Tütün tabakasi güzel dokulu falan | Rot XL | Français)BULLET-1</v>
      </c>
      <c r="CE32" t="str">
        <f t="shared" si="14"/>
        <v>1 Tütün tabakasi güzel dokulu falan | Rot XL | Français)BULLET-2</v>
      </c>
      <c r="CF32" t="str">
        <f t="shared" si="15"/>
        <v>1 Tütün tabakasi güzel dokulu falan | Rot XL | Français)BULLET-3</v>
      </c>
      <c r="CG32" t="str">
        <f t="shared" si="36"/>
        <v>1 Tütün tabakasi güzel dokulu falan | Rot XL | Italiano)</v>
      </c>
      <c r="CH32" s="11" t="s">
        <v>468</v>
      </c>
      <c r="CI32" t="str">
        <f t="shared" si="17"/>
        <v>1 Tütün tabakasi güzel dokulu falan | Rot XL | Italiano)BULLET-1</v>
      </c>
      <c r="CJ32" t="str">
        <f t="shared" si="18"/>
        <v>1 Tütün tabakasi güzel dokulu falan | Rot XL | Italiano)BULLET-2</v>
      </c>
      <c r="CK32" t="str">
        <f t="shared" si="19"/>
        <v>1 Tütün tabakasi güzel dokulu falan | Rot XL | Italiano)BULLET-3</v>
      </c>
      <c r="CL32" t="str">
        <f t="shared" si="37"/>
        <v>1 Tütün tabakasi güzel dokulu falan | Rot XL | Español)</v>
      </c>
      <c r="CM32" s="11" t="s">
        <v>469</v>
      </c>
      <c r="CN32" t="str">
        <f t="shared" si="21"/>
        <v>1 Tütün tabakasi güzel dokulu falan | Rot XL | Español)BULLET-1</v>
      </c>
      <c r="CO32" t="str">
        <f t="shared" si="22"/>
        <v>1 Tütün tabakasi güzel dokulu falan | Rot XL | Español)BULLET-2</v>
      </c>
      <c r="CP32" t="str">
        <f t="shared" si="23"/>
        <v>1 Tütün tabakasi güzel dokulu falan | Rot XL | Español)BULLET-3</v>
      </c>
      <c r="CQ32">
        <v>10</v>
      </c>
      <c r="CT32">
        <v>12</v>
      </c>
      <c r="CW32">
        <v>12</v>
      </c>
      <c r="CZ32">
        <v>14</v>
      </c>
      <c r="DC32">
        <v>16</v>
      </c>
      <c r="DF32">
        <v>18</v>
      </c>
      <c r="DI32">
        <f t="shared" si="30"/>
        <v>623</v>
      </c>
      <c r="DO32" t="str">
        <f t="shared" si="24"/>
        <v>1SEO1 Tütün tabakasi güzel dokulu falan | Rot XL</v>
      </c>
      <c r="DP32" t="str">
        <f t="shared" si="25"/>
        <v>1SEO1 Tütün tabakasi güzel dokulu falan | Rot XL DESCRIPTION</v>
      </c>
      <c r="DQ32" t="str">
        <f t="shared" si="26"/>
        <v>1SEO1 Tütün tabakasi güzel dokulu falan | Rot XL KEYWORD</v>
      </c>
    </row>
    <row r="33" spans="1:121" ht="15" customHeight="1" x14ac:dyDescent="0.25">
      <c r="A33" t="s">
        <v>236</v>
      </c>
      <c r="B33" t="s">
        <v>313</v>
      </c>
      <c r="C33" t="s">
        <v>274</v>
      </c>
      <c r="D33" t="s">
        <v>228</v>
      </c>
      <c r="E33" s="9" t="s">
        <v>382</v>
      </c>
      <c r="F33">
        <v>50</v>
      </c>
      <c r="K33">
        <f t="shared" si="31"/>
        <v>78</v>
      </c>
      <c r="L33">
        <v>12</v>
      </c>
      <c r="M33">
        <v>3</v>
      </c>
      <c r="N33">
        <v>8</v>
      </c>
      <c r="O33" s="10" t="s">
        <v>430</v>
      </c>
      <c r="P33" s="10" t="s">
        <v>428</v>
      </c>
      <c r="T33" s="10" t="s">
        <v>448</v>
      </c>
      <c r="V33" t="s">
        <v>275</v>
      </c>
      <c r="X33" t="s">
        <v>283</v>
      </c>
      <c r="AG33" t="s">
        <v>266</v>
      </c>
      <c r="AH33">
        <v>200</v>
      </c>
      <c r="AI33" t="s">
        <v>456</v>
      </c>
      <c r="AJ33" t="s">
        <v>457</v>
      </c>
      <c r="AK33" t="s">
        <v>458</v>
      </c>
      <c r="AL33" t="s">
        <v>459</v>
      </c>
      <c r="AM33" t="s">
        <v>460</v>
      </c>
      <c r="AN33" t="s">
        <v>461</v>
      </c>
      <c r="AO33" t="s">
        <v>462</v>
      </c>
      <c r="AP33" t="s">
        <v>463</v>
      </c>
      <c r="BM33" t="str">
        <f t="shared" si="32"/>
        <v>1 Tütün tabakasi güzel dokulu falan | Schwarz XL | Deutsch)</v>
      </c>
      <c r="BN33" s="11" t="s">
        <v>464</v>
      </c>
      <c r="BO33" t="str">
        <f t="shared" si="27"/>
        <v>1 Tütün tabakasi güzel dokulu falan | Schwarz XL | Deutsch)BULLET-1</v>
      </c>
      <c r="BP33" t="str">
        <f t="shared" si="28"/>
        <v>1 Tütün tabakasi güzel dokulu falan | Schwarz XL | Deutsch)BULLET-2</v>
      </c>
      <c r="BQ33" t="str">
        <f t="shared" si="29"/>
        <v>1 Tütün tabakasi güzel dokulu falan | Schwarz XL | Deutsch)BULLET-3</v>
      </c>
      <c r="BR33" t="str">
        <f t="shared" si="33"/>
        <v>1 Tütün tabakasi güzel dokulu falan | Schwarz XL | English)</v>
      </c>
      <c r="BS33" s="11" t="s">
        <v>465</v>
      </c>
      <c r="BT33" t="str">
        <f t="shared" si="5"/>
        <v>1 Tütün tabakasi güzel dokulu falan | Schwarz XL | English)BULLET-1</v>
      </c>
      <c r="BU33" t="str">
        <f t="shared" si="6"/>
        <v>1 Tütün tabakasi güzel dokulu falan | Schwarz XL | English)BULLET-2</v>
      </c>
      <c r="BV33" t="str">
        <f t="shared" si="7"/>
        <v>1 Tütün tabakasi güzel dokulu falan | Schwarz XL | English)BULLET-3</v>
      </c>
      <c r="BW33" t="str">
        <f t="shared" si="34"/>
        <v>1 Tütün tabakasi güzel dokulu falan | Schwarz XL | Türkçe)</v>
      </c>
      <c r="BX33" s="11" t="s">
        <v>466</v>
      </c>
      <c r="BY33" t="str">
        <f t="shared" si="9"/>
        <v>1 Tütün tabakasi güzel dokulu falan | Schwarz XL | Türkçe)BULLET-1</v>
      </c>
      <c r="BZ33" t="str">
        <f t="shared" si="10"/>
        <v>1 Tütün tabakasi güzel dokulu falan | Schwarz XL | Türkçe)BULLET-2</v>
      </c>
      <c r="CA33" t="str">
        <f t="shared" si="11"/>
        <v>1 Tütün tabakasi güzel dokulu falan | Schwarz XL | Türkçe)BULLET-3</v>
      </c>
      <c r="CB33" t="str">
        <f t="shared" si="35"/>
        <v>1 Tütün tabakasi güzel dokulu falan | Schwarz XL | Français)</v>
      </c>
      <c r="CC33" s="11" t="s">
        <v>467</v>
      </c>
      <c r="CD33" t="str">
        <f t="shared" si="13"/>
        <v>1 Tütün tabakasi güzel dokulu falan | Schwarz XL | Français)BULLET-1</v>
      </c>
      <c r="CE33" t="str">
        <f t="shared" si="14"/>
        <v>1 Tütün tabakasi güzel dokulu falan | Schwarz XL | Français)BULLET-2</v>
      </c>
      <c r="CF33" t="str">
        <f t="shared" si="15"/>
        <v>1 Tütün tabakasi güzel dokulu falan | Schwarz XL | Français)BULLET-3</v>
      </c>
      <c r="CG33" t="str">
        <f t="shared" si="36"/>
        <v>1 Tütün tabakasi güzel dokulu falan | Schwarz XL | Italiano)</v>
      </c>
      <c r="CH33" s="11" t="s">
        <v>468</v>
      </c>
      <c r="CI33" t="str">
        <f t="shared" si="17"/>
        <v>1 Tütün tabakasi güzel dokulu falan | Schwarz XL | Italiano)BULLET-1</v>
      </c>
      <c r="CJ33" t="str">
        <f t="shared" si="18"/>
        <v>1 Tütün tabakasi güzel dokulu falan | Schwarz XL | Italiano)BULLET-2</v>
      </c>
      <c r="CK33" t="str">
        <f t="shared" si="19"/>
        <v>1 Tütün tabakasi güzel dokulu falan | Schwarz XL | Italiano)BULLET-3</v>
      </c>
      <c r="CL33" t="str">
        <f t="shared" si="37"/>
        <v>1 Tütün tabakasi güzel dokulu falan | Schwarz XL | Español)</v>
      </c>
      <c r="CM33" s="11" t="s">
        <v>469</v>
      </c>
      <c r="CN33" t="str">
        <f t="shared" si="21"/>
        <v>1 Tütün tabakasi güzel dokulu falan | Schwarz XL | Español)BULLET-1</v>
      </c>
      <c r="CO33" t="str">
        <f t="shared" si="22"/>
        <v>1 Tütün tabakasi güzel dokulu falan | Schwarz XL | Español)BULLET-2</v>
      </c>
      <c r="CP33" t="str">
        <f t="shared" si="23"/>
        <v>1 Tütün tabakasi güzel dokulu falan | Schwarz XL | Español)BULLET-3</v>
      </c>
      <c r="CQ33">
        <v>10</v>
      </c>
      <c r="CT33">
        <v>12</v>
      </c>
      <c r="CW33">
        <v>12</v>
      </c>
      <c r="CZ33">
        <v>14</v>
      </c>
      <c r="DC33">
        <v>16</v>
      </c>
      <c r="DF33">
        <v>18</v>
      </c>
      <c r="DI33">
        <f t="shared" si="30"/>
        <v>622</v>
      </c>
      <c r="DO33" t="str">
        <f t="shared" si="24"/>
        <v>1SEO1 Tütün tabakasi güzel dokulu falan | Schwarz XL</v>
      </c>
      <c r="DP33" t="str">
        <f t="shared" si="25"/>
        <v>1SEO1 Tütün tabakasi güzel dokulu falan | Schwarz XL DESCRIPTION</v>
      </c>
      <c r="DQ33" t="str">
        <f t="shared" si="26"/>
        <v>1SEO1 Tütün tabakasi güzel dokulu falan | Schwarz XL KEYWORD</v>
      </c>
    </row>
    <row r="34" spans="1:121" ht="15" customHeight="1" x14ac:dyDescent="0.25">
      <c r="A34" t="s">
        <v>236</v>
      </c>
      <c r="B34" t="s">
        <v>314</v>
      </c>
      <c r="C34" t="s">
        <v>274</v>
      </c>
      <c r="D34" t="s">
        <v>228</v>
      </c>
      <c r="E34" s="9" t="s">
        <v>383</v>
      </c>
      <c r="F34">
        <v>50</v>
      </c>
      <c r="K34">
        <f t="shared" si="31"/>
        <v>79</v>
      </c>
      <c r="L34">
        <v>12</v>
      </c>
      <c r="M34">
        <v>3</v>
      </c>
      <c r="N34">
        <v>8</v>
      </c>
      <c r="O34" s="10" t="s">
        <v>433</v>
      </c>
      <c r="P34" s="10" t="s">
        <v>428</v>
      </c>
      <c r="T34" s="10" t="s">
        <v>452</v>
      </c>
      <c r="V34" t="s">
        <v>276</v>
      </c>
      <c r="X34" t="s">
        <v>283</v>
      </c>
      <c r="AG34" t="s">
        <v>266</v>
      </c>
      <c r="AH34">
        <v>200</v>
      </c>
      <c r="AI34" t="s">
        <v>456</v>
      </c>
      <c r="AJ34" t="s">
        <v>457</v>
      </c>
      <c r="AK34" t="s">
        <v>458</v>
      </c>
      <c r="AL34" t="s">
        <v>459</v>
      </c>
      <c r="AM34" t="s">
        <v>460</v>
      </c>
      <c r="AN34" t="s">
        <v>461</v>
      </c>
      <c r="AO34" t="s">
        <v>462</v>
      </c>
      <c r="AP34" t="s">
        <v>463</v>
      </c>
      <c r="BM34" t="str">
        <f t="shared" si="32"/>
        <v>1 Tütün tabakasi güzel dokulu falan | Weiß XL | Deutsch)</v>
      </c>
      <c r="BN34" s="11" t="s">
        <v>464</v>
      </c>
      <c r="BO34" t="str">
        <f t="shared" si="27"/>
        <v>1 Tütün tabakasi güzel dokulu falan | Weiß XL | Deutsch)BULLET-1</v>
      </c>
      <c r="BP34" t="str">
        <f t="shared" si="28"/>
        <v>1 Tütün tabakasi güzel dokulu falan | Weiß XL | Deutsch)BULLET-2</v>
      </c>
      <c r="BQ34" t="str">
        <f t="shared" si="29"/>
        <v>1 Tütün tabakasi güzel dokulu falan | Weiß XL | Deutsch)BULLET-3</v>
      </c>
      <c r="BR34" t="str">
        <f t="shared" si="33"/>
        <v>1 Tütün tabakasi güzel dokulu falan | Weiß XL | English)</v>
      </c>
      <c r="BS34" s="11" t="s">
        <v>465</v>
      </c>
      <c r="BT34" t="str">
        <f t="shared" si="5"/>
        <v>1 Tütün tabakasi güzel dokulu falan | Weiß XL | English)BULLET-1</v>
      </c>
      <c r="BU34" t="str">
        <f t="shared" si="6"/>
        <v>1 Tütün tabakasi güzel dokulu falan | Weiß XL | English)BULLET-2</v>
      </c>
      <c r="BV34" t="str">
        <f t="shared" si="7"/>
        <v>1 Tütün tabakasi güzel dokulu falan | Weiß XL | English)BULLET-3</v>
      </c>
      <c r="BW34" t="str">
        <f t="shared" si="34"/>
        <v>1 Tütün tabakasi güzel dokulu falan | Weiß XL | Türkçe)</v>
      </c>
      <c r="BX34" s="11" t="s">
        <v>466</v>
      </c>
      <c r="BY34" t="str">
        <f t="shared" si="9"/>
        <v>1 Tütün tabakasi güzel dokulu falan | Weiß XL | Türkçe)BULLET-1</v>
      </c>
      <c r="BZ34" t="str">
        <f t="shared" si="10"/>
        <v>1 Tütün tabakasi güzel dokulu falan | Weiß XL | Türkçe)BULLET-2</v>
      </c>
      <c r="CA34" t="str">
        <f t="shared" si="11"/>
        <v>1 Tütün tabakasi güzel dokulu falan | Weiß XL | Türkçe)BULLET-3</v>
      </c>
      <c r="CB34" t="str">
        <f t="shared" si="35"/>
        <v>1 Tütün tabakasi güzel dokulu falan | Weiß XL | Français)</v>
      </c>
      <c r="CC34" s="11" t="s">
        <v>467</v>
      </c>
      <c r="CD34" t="str">
        <f t="shared" si="13"/>
        <v>1 Tütün tabakasi güzel dokulu falan | Weiß XL | Français)BULLET-1</v>
      </c>
      <c r="CE34" t="str">
        <f t="shared" si="14"/>
        <v>1 Tütün tabakasi güzel dokulu falan | Weiß XL | Français)BULLET-2</v>
      </c>
      <c r="CF34" t="str">
        <f t="shared" si="15"/>
        <v>1 Tütün tabakasi güzel dokulu falan | Weiß XL | Français)BULLET-3</v>
      </c>
      <c r="CG34" t="str">
        <f t="shared" si="36"/>
        <v>1 Tütün tabakasi güzel dokulu falan | Weiß XL | Italiano)</v>
      </c>
      <c r="CH34" s="11" t="s">
        <v>468</v>
      </c>
      <c r="CI34" t="str">
        <f t="shared" si="17"/>
        <v>1 Tütün tabakasi güzel dokulu falan | Weiß XL | Italiano)BULLET-1</v>
      </c>
      <c r="CJ34" t="str">
        <f t="shared" si="18"/>
        <v>1 Tütün tabakasi güzel dokulu falan | Weiß XL | Italiano)BULLET-2</v>
      </c>
      <c r="CK34" t="str">
        <f t="shared" si="19"/>
        <v>1 Tütün tabakasi güzel dokulu falan | Weiß XL | Italiano)BULLET-3</v>
      </c>
      <c r="CL34" t="str">
        <f t="shared" si="37"/>
        <v>1 Tütün tabakasi güzel dokulu falan | Weiß XL | Español)</v>
      </c>
      <c r="CM34" s="11" t="s">
        <v>469</v>
      </c>
      <c r="CN34" t="str">
        <f t="shared" si="21"/>
        <v>1 Tütün tabakasi güzel dokulu falan | Weiß XL | Español)BULLET-1</v>
      </c>
      <c r="CO34" t="str">
        <f t="shared" si="22"/>
        <v>1 Tütün tabakasi güzel dokulu falan | Weiß XL | Español)BULLET-2</v>
      </c>
      <c r="CP34" t="str">
        <f t="shared" si="23"/>
        <v>1 Tütün tabakasi güzel dokulu falan | Weiß XL | Español)BULLET-3</v>
      </c>
      <c r="CQ34">
        <v>10</v>
      </c>
      <c r="CT34">
        <v>12</v>
      </c>
      <c r="CW34">
        <v>12</v>
      </c>
      <c r="CZ34">
        <v>14</v>
      </c>
      <c r="DC34">
        <v>16</v>
      </c>
      <c r="DF34">
        <v>18</v>
      </c>
      <c r="DI34">
        <f t="shared" si="30"/>
        <v>621</v>
      </c>
      <c r="DO34" t="str">
        <f t="shared" si="24"/>
        <v>1SEO1 Tütün tabakasi güzel dokulu falan | Weiß XL</v>
      </c>
      <c r="DP34" t="str">
        <f t="shared" si="25"/>
        <v>1SEO1 Tütün tabakasi güzel dokulu falan | Weiß XL DESCRIPTION</v>
      </c>
      <c r="DQ34" t="str">
        <f t="shared" si="26"/>
        <v>1SEO1 Tütün tabakasi güzel dokulu falan | Weiß XL KEYWORD</v>
      </c>
    </row>
    <row r="35" spans="1:121" ht="15" customHeight="1" x14ac:dyDescent="0.25">
      <c r="A35" t="s">
        <v>236</v>
      </c>
      <c r="B35" t="s">
        <v>315</v>
      </c>
      <c r="C35" t="s">
        <v>274</v>
      </c>
      <c r="D35" t="s">
        <v>228</v>
      </c>
      <c r="E35" s="9" t="s">
        <v>384</v>
      </c>
      <c r="F35">
        <v>50</v>
      </c>
      <c r="K35">
        <f t="shared" si="31"/>
        <v>80</v>
      </c>
      <c r="L35">
        <v>12</v>
      </c>
      <c r="M35">
        <v>3</v>
      </c>
      <c r="N35">
        <v>8</v>
      </c>
      <c r="O35" s="10" t="s">
        <v>434</v>
      </c>
      <c r="P35" s="10" t="s">
        <v>428</v>
      </c>
      <c r="T35" s="10" t="s">
        <v>455</v>
      </c>
      <c r="V35" t="s">
        <v>277</v>
      </c>
      <c r="X35" t="s">
        <v>283</v>
      </c>
      <c r="AG35" t="s">
        <v>266</v>
      </c>
      <c r="AH35">
        <v>200</v>
      </c>
      <c r="AI35" t="s">
        <v>456</v>
      </c>
      <c r="AJ35" t="s">
        <v>457</v>
      </c>
      <c r="AK35" t="s">
        <v>458</v>
      </c>
      <c r="AL35" t="s">
        <v>459</v>
      </c>
      <c r="AM35" t="s">
        <v>460</v>
      </c>
      <c r="AN35" t="s">
        <v>461</v>
      </c>
      <c r="AO35" t="s">
        <v>462</v>
      </c>
      <c r="AP35" t="s">
        <v>463</v>
      </c>
      <c r="BM35" t="str">
        <f t="shared" si="32"/>
        <v>1 Tütün tabakasi güzel dokulu falan | Grün XL | Deutsch)</v>
      </c>
      <c r="BN35" s="11" t="s">
        <v>464</v>
      </c>
      <c r="BO35" t="str">
        <f t="shared" si="27"/>
        <v>1 Tütün tabakasi güzel dokulu falan | Grün XL | Deutsch)BULLET-1</v>
      </c>
      <c r="BP35" t="str">
        <f t="shared" si="28"/>
        <v>1 Tütün tabakasi güzel dokulu falan | Grün XL | Deutsch)BULLET-2</v>
      </c>
      <c r="BQ35" t="str">
        <f t="shared" si="29"/>
        <v>1 Tütün tabakasi güzel dokulu falan | Grün XL | Deutsch)BULLET-3</v>
      </c>
      <c r="BR35" t="str">
        <f t="shared" si="33"/>
        <v>1 Tütün tabakasi güzel dokulu falan | Grün XL | English)</v>
      </c>
      <c r="BS35" s="11" t="s">
        <v>465</v>
      </c>
      <c r="BT35" t="str">
        <f t="shared" si="5"/>
        <v>1 Tütün tabakasi güzel dokulu falan | Grün XL | English)BULLET-1</v>
      </c>
      <c r="BU35" t="str">
        <f t="shared" si="6"/>
        <v>1 Tütün tabakasi güzel dokulu falan | Grün XL | English)BULLET-2</v>
      </c>
      <c r="BV35" t="str">
        <f t="shared" si="7"/>
        <v>1 Tütün tabakasi güzel dokulu falan | Grün XL | English)BULLET-3</v>
      </c>
      <c r="BW35" t="str">
        <f t="shared" si="34"/>
        <v>1 Tütün tabakasi güzel dokulu falan | Grün XL | Türkçe)</v>
      </c>
      <c r="BX35" s="11" t="s">
        <v>466</v>
      </c>
      <c r="BY35" t="str">
        <f t="shared" si="9"/>
        <v>1 Tütün tabakasi güzel dokulu falan | Grün XL | Türkçe)BULLET-1</v>
      </c>
      <c r="BZ35" t="str">
        <f t="shared" si="10"/>
        <v>1 Tütün tabakasi güzel dokulu falan | Grün XL | Türkçe)BULLET-2</v>
      </c>
      <c r="CA35" t="str">
        <f t="shared" si="11"/>
        <v>1 Tütün tabakasi güzel dokulu falan | Grün XL | Türkçe)BULLET-3</v>
      </c>
      <c r="CB35" t="str">
        <f t="shared" si="35"/>
        <v>1 Tütün tabakasi güzel dokulu falan | Grün XL | Français)</v>
      </c>
      <c r="CC35" s="11" t="s">
        <v>467</v>
      </c>
      <c r="CD35" t="str">
        <f t="shared" si="13"/>
        <v>1 Tütün tabakasi güzel dokulu falan | Grün XL | Français)BULLET-1</v>
      </c>
      <c r="CE35" t="str">
        <f t="shared" si="14"/>
        <v>1 Tütün tabakasi güzel dokulu falan | Grün XL | Français)BULLET-2</v>
      </c>
      <c r="CF35" t="str">
        <f t="shared" si="15"/>
        <v>1 Tütün tabakasi güzel dokulu falan | Grün XL | Français)BULLET-3</v>
      </c>
      <c r="CG35" t="str">
        <f t="shared" si="36"/>
        <v>1 Tütün tabakasi güzel dokulu falan | Grün XL | Italiano)</v>
      </c>
      <c r="CH35" s="11" t="s">
        <v>468</v>
      </c>
      <c r="CI35" t="str">
        <f t="shared" si="17"/>
        <v>1 Tütün tabakasi güzel dokulu falan | Grün XL | Italiano)BULLET-1</v>
      </c>
      <c r="CJ35" t="str">
        <f t="shared" si="18"/>
        <v>1 Tütün tabakasi güzel dokulu falan | Grün XL | Italiano)BULLET-2</v>
      </c>
      <c r="CK35" t="str">
        <f t="shared" si="19"/>
        <v>1 Tütün tabakasi güzel dokulu falan | Grün XL | Italiano)BULLET-3</v>
      </c>
      <c r="CL35" t="str">
        <f t="shared" si="37"/>
        <v>1 Tütün tabakasi güzel dokulu falan | Grün XL | Español)</v>
      </c>
      <c r="CM35" s="11" t="s">
        <v>469</v>
      </c>
      <c r="CN35" t="str">
        <f t="shared" si="21"/>
        <v>1 Tütün tabakasi güzel dokulu falan | Grün XL | Español)BULLET-1</v>
      </c>
      <c r="CO35" t="str">
        <f t="shared" si="22"/>
        <v>1 Tütün tabakasi güzel dokulu falan | Grün XL | Español)BULLET-2</v>
      </c>
      <c r="CP35" t="str">
        <f t="shared" si="23"/>
        <v>1 Tütün tabakasi güzel dokulu falan | Grün XL | Español)BULLET-3</v>
      </c>
      <c r="CQ35">
        <v>10</v>
      </c>
      <c r="CT35">
        <v>12</v>
      </c>
      <c r="CW35">
        <v>12</v>
      </c>
      <c r="CZ35">
        <v>14</v>
      </c>
      <c r="DC35">
        <v>16</v>
      </c>
      <c r="DF35">
        <v>18</v>
      </c>
      <c r="DI35">
        <f t="shared" si="30"/>
        <v>620</v>
      </c>
      <c r="DO35" t="str">
        <f t="shared" si="24"/>
        <v>1SEO1 Tütün tabakasi güzel dokulu falan | Grün XL</v>
      </c>
      <c r="DP35" t="str">
        <f t="shared" si="25"/>
        <v>1SEO1 Tütün tabakasi güzel dokulu falan | Grün XL DESCRIPTION</v>
      </c>
      <c r="DQ35" t="str">
        <f t="shared" si="26"/>
        <v>1SEO1 Tütün tabakasi güzel dokulu falan | Grün XL KEYWORD</v>
      </c>
    </row>
    <row r="36" spans="1:121" ht="15" customHeight="1" x14ac:dyDescent="0.25">
      <c r="A36" t="s">
        <v>236</v>
      </c>
      <c r="B36" t="s">
        <v>316</v>
      </c>
      <c r="C36" t="s">
        <v>274</v>
      </c>
      <c r="D36" t="s">
        <v>228</v>
      </c>
      <c r="E36" s="9" t="s">
        <v>385</v>
      </c>
      <c r="F36">
        <v>50</v>
      </c>
      <c r="K36">
        <f t="shared" si="31"/>
        <v>81</v>
      </c>
      <c r="L36">
        <v>12</v>
      </c>
      <c r="M36">
        <v>3</v>
      </c>
      <c r="N36">
        <v>8</v>
      </c>
      <c r="O36" s="10" t="s">
        <v>435</v>
      </c>
      <c r="P36" s="10" t="s">
        <v>428</v>
      </c>
      <c r="T36" s="10" t="s">
        <v>449</v>
      </c>
      <c r="V36" t="s">
        <v>278</v>
      </c>
      <c r="X36" t="s">
        <v>283</v>
      </c>
      <c r="AG36" t="s">
        <v>266</v>
      </c>
      <c r="AH36">
        <v>200</v>
      </c>
      <c r="AI36" t="s">
        <v>456</v>
      </c>
      <c r="AJ36" t="s">
        <v>457</v>
      </c>
      <c r="AK36" t="s">
        <v>458</v>
      </c>
      <c r="AL36" t="s">
        <v>459</v>
      </c>
      <c r="AM36" t="s">
        <v>460</v>
      </c>
      <c r="AN36" t="s">
        <v>461</v>
      </c>
      <c r="AO36" t="s">
        <v>462</v>
      </c>
      <c r="AP36" t="s">
        <v>463</v>
      </c>
      <c r="BM36" t="str">
        <f t="shared" si="32"/>
        <v>1 Tütün tabakasi güzel dokulu falan | Blau XL | Deutsch)</v>
      </c>
      <c r="BN36" s="11" t="s">
        <v>464</v>
      </c>
      <c r="BO36" t="str">
        <f t="shared" si="27"/>
        <v>1 Tütün tabakasi güzel dokulu falan | Blau XL | Deutsch)BULLET-1</v>
      </c>
      <c r="BP36" t="str">
        <f t="shared" si="28"/>
        <v>1 Tütün tabakasi güzel dokulu falan | Blau XL | Deutsch)BULLET-2</v>
      </c>
      <c r="BQ36" t="str">
        <f t="shared" si="29"/>
        <v>1 Tütün tabakasi güzel dokulu falan | Blau XL | Deutsch)BULLET-3</v>
      </c>
      <c r="BR36" t="str">
        <f t="shared" si="33"/>
        <v>1 Tütün tabakasi güzel dokulu falan | Blau XL | English)</v>
      </c>
      <c r="BS36" s="11" t="s">
        <v>465</v>
      </c>
      <c r="BT36" t="str">
        <f t="shared" si="5"/>
        <v>1 Tütün tabakasi güzel dokulu falan | Blau XL | English)BULLET-1</v>
      </c>
      <c r="BU36" t="str">
        <f t="shared" si="6"/>
        <v>1 Tütün tabakasi güzel dokulu falan | Blau XL | English)BULLET-2</v>
      </c>
      <c r="BV36" t="str">
        <f t="shared" si="7"/>
        <v>1 Tütün tabakasi güzel dokulu falan | Blau XL | English)BULLET-3</v>
      </c>
      <c r="BW36" t="str">
        <f t="shared" si="34"/>
        <v>1 Tütün tabakasi güzel dokulu falan | Blau XL | Türkçe)</v>
      </c>
      <c r="BX36" s="11" t="s">
        <v>466</v>
      </c>
      <c r="BY36" t="str">
        <f t="shared" si="9"/>
        <v>1 Tütün tabakasi güzel dokulu falan | Blau XL | Türkçe)BULLET-1</v>
      </c>
      <c r="BZ36" t="str">
        <f t="shared" si="10"/>
        <v>1 Tütün tabakasi güzel dokulu falan | Blau XL | Türkçe)BULLET-2</v>
      </c>
      <c r="CA36" t="str">
        <f t="shared" si="11"/>
        <v>1 Tütün tabakasi güzel dokulu falan | Blau XL | Türkçe)BULLET-3</v>
      </c>
      <c r="CB36" t="str">
        <f t="shared" si="35"/>
        <v>1 Tütün tabakasi güzel dokulu falan | Blau XL | Français)</v>
      </c>
      <c r="CC36" s="11" t="s">
        <v>467</v>
      </c>
      <c r="CD36" t="str">
        <f t="shared" si="13"/>
        <v>1 Tütün tabakasi güzel dokulu falan | Blau XL | Français)BULLET-1</v>
      </c>
      <c r="CE36" t="str">
        <f t="shared" si="14"/>
        <v>1 Tütün tabakasi güzel dokulu falan | Blau XL | Français)BULLET-2</v>
      </c>
      <c r="CF36" t="str">
        <f t="shared" si="15"/>
        <v>1 Tütün tabakasi güzel dokulu falan | Blau XL | Français)BULLET-3</v>
      </c>
      <c r="CG36" t="str">
        <f t="shared" si="36"/>
        <v>1 Tütün tabakasi güzel dokulu falan | Blau XL | Italiano)</v>
      </c>
      <c r="CH36" s="11" t="s">
        <v>468</v>
      </c>
      <c r="CI36" t="str">
        <f t="shared" si="17"/>
        <v>1 Tütün tabakasi güzel dokulu falan | Blau XL | Italiano)BULLET-1</v>
      </c>
      <c r="CJ36" t="str">
        <f t="shared" si="18"/>
        <v>1 Tütün tabakasi güzel dokulu falan | Blau XL | Italiano)BULLET-2</v>
      </c>
      <c r="CK36" t="str">
        <f t="shared" si="19"/>
        <v>1 Tütün tabakasi güzel dokulu falan | Blau XL | Italiano)BULLET-3</v>
      </c>
      <c r="CL36" t="str">
        <f t="shared" si="37"/>
        <v>1 Tütün tabakasi güzel dokulu falan | Blau XL | Español)</v>
      </c>
      <c r="CM36" s="11" t="s">
        <v>469</v>
      </c>
      <c r="CN36" t="str">
        <f t="shared" si="21"/>
        <v>1 Tütün tabakasi güzel dokulu falan | Blau XL | Español)BULLET-1</v>
      </c>
      <c r="CO36" t="str">
        <f t="shared" si="22"/>
        <v>1 Tütün tabakasi güzel dokulu falan | Blau XL | Español)BULLET-2</v>
      </c>
      <c r="CP36" t="str">
        <f t="shared" si="23"/>
        <v>1 Tütün tabakasi güzel dokulu falan | Blau XL | Español)BULLET-3</v>
      </c>
      <c r="CQ36">
        <v>10</v>
      </c>
      <c r="CT36">
        <v>12</v>
      </c>
      <c r="CW36">
        <v>12</v>
      </c>
      <c r="CZ36">
        <v>14</v>
      </c>
      <c r="DC36">
        <v>16</v>
      </c>
      <c r="DF36">
        <v>18</v>
      </c>
      <c r="DI36">
        <f t="shared" si="30"/>
        <v>619</v>
      </c>
      <c r="DO36" t="str">
        <f t="shared" si="24"/>
        <v>1SEO1 Tütün tabakasi güzel dokulu falan | Blau XL</v>
      </c>
      <c r="DP36" t="str">
        <f t="shared" si="25"/>
        <v>1SEO1 Tütün tabakasi güzel dokulu falan | Blau XL DESCRIPTION</v>
      </c>
      <c r="DQ36" t="str">
        <f t="shared" si="26"/>
        <v>1SEO1 Tütün tabakasi güzel dokulu falan | Blau XL KEYWORD</v>
      </c>
    </row>
    <row r="37" spans="1:121" ht="15" customHeight="1" x14ac:dyDescent="0.25">
      <c r="A37" t="s">
        <v>236</v>
      </c>
      <c r="B37" t="s">
        <v>317</v>
      </c>
      <c r="C37" t="s">
        <v>274</v>
      </c>
      <c r="D37" t="s">
        <v>228</v>
      </c>
      <c r="E37" s="9" t="s">
        <v>386</v>
      </c>
      <c r="F37">
        <v>50</v>
      </c>
      <c r="K37">
        <f t="shared" si="31"/>
        <v>82</v>
      </c>
      <c r="L37">
        <v>12</v>
      </c>
      <c r="M37">
        <v>3</v>
      </c>
      <c r="N37">
        <v>8</v>
      </c>
      <c r="O37" s="10" t="s">
        <v>436</v>
      </c>
      <c r="P37" s="10" t="s">
        <v>428</v>
      </c>
      <c r="T37" s="10" t="s">
        <v>454</v>
      </c>
      <c r="V37" t="s">
        <v>279</v>
      </c>
      <c r="X37" t="s">
        <v>283</v>
      </c>
      <c r="AG37" t="s">
        <v>266</v>
      </c>
      <c r="AH37">
        <v>200</v>
      </c>
      <c r="AI37" t="s">
        <v>456</v>
      </c>
      <c r="AJ37" t="s">
        <v>457</v>
      </c>
      <c r="AK37" t="s">
        <v>458</v>
      </c>
      <c r="AL37" t="s">
        <v>459</v>
      </c>
      <c r="AM37" t="s">
        <v>460</v>
      </c>
      <c r="AN37" t="s">
        <v>461</v>
      </c>
      <c r="AO37" t="s">
        <v>462</v>
      </c>
      <c r="AP37" t="s">
        <v>463</v>
      </c>
      <c r="BM37" t="str">
        <f t="shared" si="32"/>
        <v>1 Tütün tabakasi güzel dokulu falan | Gelb XL | Deutsch)</v>
      </c>
      <c r="BN37" s="11" t="s">
        <v>464</v>
      </c>
      <c r="BO37" t="str">
        <f t="shared" si="27"/>
        <v>1 Tütün tabakasi güzel dokulu falan | Gelb XL | Deutsch)BULLET-1</v>
      </c>
      <c r="BP37" t="str">
        <f t="shared" si="28"/>
        <v>1 Tütün tabakasi güzel dokulu falan | Gelb XL | Deutsch)BULLET-2</v>
      </c>
      <c r="BQ37" t="str">
        <f t="shared" si="29"/>
        <v>1 Tütün tabakasi güzel dokulu falan | Gelb XL | Deutsch)BULLET-3</v>
      </c>
      <c r="BR37" t="str">
        <f t="shared" si="33"/>
        <v>1 Tütün tabakasi güzel dokulu falan | Gelb XL | English)</v>
      </c>
      <c r="BS37" s="11" t="s">
        <v>465</v>
      </c>
      <c r="BT37" t="str">
        <f t="shared" si="5"/>
        <v>1 Tütün tabakasi güzel dokulu falan | Gelb XL | English)BULLET-1</v>
      </c>
      <c r="BU37" t="str">
        <f t="shared" si="6"/>
        <v>1 Tütün tabakasi güzel dokulu falan | Gelb XL | English)BULLET-2</v>
      </c>
      <c r="BV37" t="str">
        <f t="shared" si="7"/>
        <v>1 Tütün tabakasi güzel dokulu falan | Gelb XL | English)BULLET-3</v>
      </c>
      <c r="BW37" t="str">
        <f t="shared" si="34"/>
        <v>1 Tütün tabakasi güzel dokulu falan | Gelb XL | Türkçe)</v>
      </c>
      <c r="BX37" s="11" t="s">
        <v>466</v>
      </c>
      <c r="BY37" t="str">
        <f t="shared" si="9"/>
        <v>1 Tütün tabakasi güzel dokulu falan | Gelb XL | Türkçe)BULLET-1</v>
      </c>
      <c r="BZ37" t="str">
        <f t="shared" si="10"/>
        <v>1 Tütün tabakasi güzel dokulu falan | Gelb XL | Türkçe)BULLET-2</v>
      </c>
      <c r="CA37" t="str">
        <f t="shared" si="11"/>
        <v>1 Tütün tabakasi güzel dokulu falan | Gelb XL | Türkçe)BULLET-3</v>
      </c>
      <c r="CB37" t="str">
        <f t="shared" si="35"/>
        <v>1 Tütün tabakasi güzel dokulu falan | Gelb XL | Français)</v>
      </c>
      <c r="CC37" s="11" t="s">
        <v>467</v>
      </c>
      <c r="CD37" t="str">
        <f t="shared" si="13"/>
        <v>1 Tütün tabakasi güzel dokulu falan | Gelb XL | Français)BULLET-1</v>
      </c>
      <c r="CE37" t="str">
        <f t="shared" si="14"/>
        <v>1 Tütün tabakasi güzel dokulu falan | Gelb XL | Français)BULLET-2</v>
      </c>
      <c r="CF37" t="str">
        <f t="shared" si="15"/>
        <v>1 Tütün tabakasi güzel dokulu falan | Gelb XL | Français)BULLET-3</v>
      </c>
      <c r="CG37" t="str">
        <f t="shared" si="36"/>
        <v>1 Tütün tabakasi güzel dokulu falan | Gelb XL | Italiano)</v>
      </c>
      <c r="CH37" s="11" t="s">
        <v>468</v>
      </c>
      <c r="CI37" t="str">
        <f t="shared" si="17"/>
        <v>1 Tütün tabakasi güzel dokulu falan | Gelb XL | Italiano)BULLET-1</v>
      </c>
      <c r="CJ37" t="str">
        <f t="shared" si="18"/>
        <v>1 Tütün tabakasi güzel dokulu falan | Gelb XL | Italiano)BULLET-2</v>
      </c>
      <c r="CK37" t="str">
        <f t="shared" si="19"/>
        <v>1 Tütün tabakasi güzel dokulu falan | Gelb XL | Italiano)BULLET-3</v>
      </c>
      <c r="CL37" t="str">
        <f t="shared" si="37"/>
        <v>1 Tütün tabakasi güzel dokulu falan | Gelb XL | Español)</v>
      </c>
      <c r="CM37" s="11" t="s">
        <v>469</v>
      </c>
      <c r="CN37" t="str">
        <f t="shared" si="21"/>
        <v>1 Tütün tabakasi güzel dokulu falan | Gelb XL | Español)BULLET-1</v>
      </c>
      <c r="CO37" t="str">
        <f t="shared" si="22"/>
        <v>1 Tütün tabakasi güzel dokulu falan | Gelb XL | Español)BULLET-2</v>
      </c>
      <c r="CP37" t="str">
        <f t="shared" si="23"/>
        <v>1 Tütün tabakasi güzel dokulu falan | Gelb XL | Español)BULLET-3</v>
      </c>
      <c r="CQ37">
        <v>10</v>
      </c>
      <c r="CT37">
        <v>12</v>
      </c>
      <c r="CW37">
        <v>12</v>
      </c>
      <c r="CZ37">
        <v>14</v>
      </c>
      <c r="DC37">
        <v>16</v>
      </c>
      <c r="DF37">
        <v>18</v>
      </c>
      <c r="DI37">
        <f t="shared" si="30"/>
        <v>618</v>
      </c>
      <c r="DO37" t="str">
        <f t="shared" si="24"/>
        <v>1SEO1 Tütün tabakasi güzel dokulu falan | Gelb XL</v>
      </c>
      <c r="DP37" t="str">
        <f t="shared" si="25"/>
        <v>1SEO1 Tütün tabakasi güzel dokulu falan | Gelb XL DESCRIPTION</v>
      </c>
      <c r="DQ37" t="str">
        <f t="shared" si="26"/>
        <v>1SEO1 Tütün tabakasi güzel dokulu falan | Gelb XL KEYWORD</v>
      </c>
    </row>
    <row r="38" spans="1:121" ht="15" customHeight="1" x14ac:dyDescent="0.25">
      <c r="A38" t="s">
        <v>236</v>
      </c>
      <c r="B38" t="s">
        <v>318</v>
      </c>
      <c r="C38" t="s">
        <v>274</v>
      </c>
      <c r="D38" t="s">
        <v>228</v>
      </c>
      <c r="E38" s="9" t="s">
        <v>387</v>
      </c>
      <c r="F38">
        <v>50</v>
      </c>
      <c r="K38">
        <f t="shared" si="31"/>
        <v>83</v>
      </c>
      <c r="L38">
        <v>12</v>
      </c>
      <c r="M38">
        <v>3</v>
      </c>
      <c r="N38">
        <v>8</v>
      </c>
      <c r="O38" s="10" t="s">
        <v>437</v>
      </c>
      <c r="P38" s="10" t="s">
        <v>428</v>
      </c>
      <c r="T38" s="10" t="s">
        <v>451</v>
      </c>
      <c r="V38" t="s">
        <v>280</v>
      </c>
      <c r="X38" t="s">
        <v>283</v>
      </c>
      <c r="AG38" t="s">
        <v>266</v>
      </c>
      <c r="AH38">
        <v>200</v>
      </c>
      <c r="AI38" t="s">
        <v>456</v>
      </c>
      <c r="AJ38" t="s">
        <v>457</v>
      </c>
      <c r="AK38" t="s">
        <v>458</v>
      </c>
      <c r="AL38" t="s">
        <v>459</v>
      </c>
      <c r="AM38" t="s">
        <v>460</v>
      </c>
      <c r="AN38" t="s">
        <v>461</v>
      </c>
      <c r="AO38" t="s">
        <v>462</v>
      </c>
      <c r="AP38" t="s">
        <v>463</v>
      </c>
      <c r="BM38" t="str">
        <f t="shared" si="32"/>
        <v>1 Tütün tabakasi güzel dokulu falan | Lila XL | Deutsch)</v>
      </c>
      <c r="BN38" s="11" t="s">
        <v>464</v>
      </c>
      <c r="BO38" t="str">
        <f t="shared" si="27"/>
        <v>1 Tütün tabakasi güzel dokulu falan | Lila XL | Deutsch)BULLET-1</v>
      </c>
      <c r="BP38" t="str">
        <f t="shared" si="28"/>
        <v>1 Tütün tabakasi güzel dokulu falan | Lila XL | Deutsch)BULLET-2</v>
      </c>
      <c r="BQ38" t="str">
        <f t="shared" si="29"/>
        <v>1 Tütün tabakasi güzel dokulu falan | Lila XL | Deutsch)BULLET-3</v>
      </c>
      <c r="BR38" t="str">
        <f t="shared" si="33"/>
        <v>1 Tütün tabakasi güzel dokulu falan | Lila XL | English)</v>
      </c>
      <c r="BS38" s="11" t="s">
        <v>465</v>
      </c>
      <c r="BT38" t="str">
        <f t="shared" si="5"/>
        <v>1 Tütün tabakasi güzel dokulu falan | Lila XL | English)BULLET-1</v>
      </c>
      <c r="BU38" t="str">
        <f t="shared" si="6"/>
        <v>1 Tütün tabakasi güzel dokulu falan | Lila XL | English)BULLET-2</v>
      </c>
      <c r="BV38" t="str">
        <f t="shared" si="7"/>
        <v>1 Tütün tabakasi güzel dokulu falan | Lila XL | English)BULLET-3</v>
      </c>
      <c r="BW38" t="str">
        <f t="shared" si="34"/>
        <v>1 Tütün tabakasi güzel dokulu falan | Lila XL | Türkçe)</v>
      </c>
      <c r="BX38" s="11" t="s">
        <v>466</v>
      </c>
      <c r="BY38" t="str">
        <f t="shared" si="9"/>
        <v>1 Tütün tabakasi güzel dokulu falan | Lila XL | Türkçe)BULLET-1</v>
      </c>
      <c r="BZ38" t="str">
        <f t="shared" si="10"/>
        <v>1 Tütün tabakasi güzel dokulu falan | Lila XL | Türkçe)BULLET-2</v>
      </c>
      <c r="CA38" t="str">
        <f t="shared" si="11"/>
        <v>1 Tütün tabakasi güzel dokulu falan | Lila XL | Türkçe)BULLET-3</v>
      </c>
      <c r="CB38" t="str">
        <f t="shared" si="35"/>
        <v>1 Tütün tabakasi güzel dokulu falan | Lila XL | Français)</v>
      </c>
      <c r="CC38" s="11" t="s">
        <v>467</v>
      </c>
      <c r="CD38" t="str">
        <f t="shared" si="13"/>
        <v>1 Tütün tabakasi güzel dokulu falan | Lila XL | Français)BULLET-1</v>
      </c>
      <c r="CE38" t="str">
        <f t="shared" si="14"/>
        <v>1 Tütün tabakasi güzel dokulu falan | Lila XL | Français)BULLET-2</v>
      </c>
      <c r="CF38" t="str">
        <f t="shared" si="15"/>
        <v>1 Tütün tabakasi güzel dokulu falan | Lila XL | Français)BULLET-3</v>
      </c>
      <c r="CG38" t="str">
        <f t="shared" si="36"/>
        <v>1 Tütün tabakasi güzel dokulu falan | Lila XL | Italiano)</v>
      </c>
      <c r="CH38" s="11" t="s">
        <v>468</v>
      </c>
      <c r="CI38" t="str">
        <f t="shared" si="17"/>
        <v>1 Tütün tabakasi güzel dokulu falan | Lila XL | Italiano)BULLET-1</v>
      </c>
      <c r="CJ38" t="str">
        <f t="shared" si="18"/>
        <v>1 Tütün tabakasi güzel dokulu falan | Lila XL | Italiano)BULLET-2</v>
      </c>
      <c r="CK38" t="str">
        <f t="shared" si="19"/>
        <v>1 Tütün tabakasi güzel dokulu falan | Lila XL | Italiano)BULLET-3</v>
      </c>
      <c r="CL38" t="str">
        <f t="shared" si="37"/>
        <v>1 Tütün tabakasi güzel dokulu falan | Lila XL | Español)</v>
      </c>
      <c r="CM38" s="11" t="s">
        <v>469</v>
      </c>
      <c r="CN38" t="str">
        <f t="shared" si="21"/>
        <v>1 Tütün tabakasi güzel dokulu falan | Lila XL | Español)BULLET-1</v>
      </c>
      <c r="CO38" t="str">
        <f t="shared" si="22"/>
        <v>1 Tütün tabakasi güzel dokulu falan | Lila XL | Español)BULLET-2</v>
      </c>
      <c r="CP38" t="str">
        <f t="shared" si="23"/>
        <v>1 Tütün tabakasi güzel dokulu falan | Lila XL | Español)BULLET-3</v>
      </c>
      <c r="CQ38">
        <v>10</v>
      </c>
      <c r="CT38">
        <v>12</v>
      </c>
      <c r="CW38">
        <v>12</v>
      </c>
      <c r="CZ38">
        <v>14</v>
      </c>
      <c r="DC38">
        <v>16</v>
      </c>
      <c r="DF38">
        <v>18</v>
      </c>
      <c r="DI38">
        <f t="shared" si="30"/>
        <v>617</v>
      </c>
      <c r="DO38" t="str">
        <f t="shared" si="24"/>
        <v>1SEO1 Tütün tabakasi güzel dokulu falan | Lila XL</v>
      </c>
      <c r="DP38" t="str">
        <f t="shared" si="25"/>
        <v>1SEO1 Tütün tabakasi güzel dokulu falan | Lila XL DESCRIPTION</v>
      </c>
      <c r="DQ38" t="str">
        <f t="shared" si="26"/>
        <v>1SEO1 Tütün tabakasi güzel dokulu falan | Lila XL KEYWORD</v>
      </c>
    </row>
    <row r="39" spans="1:121" ht="15" customHeight="1" x14ac:dyDescent="0.25">
      <c r="A39" t="s">
        <v>236</v>
      </c>
      <c r="B39" t="s">
        <v>319</v>
      </c>
      <c r="C39" t="s">
        <v>274</v>
      </c>
      <c r="D39" t="s">
        <v>228</v>
      </c>
      <c r="E39" s="9" t="s">
        <v>388</v>
      </c>
      <c r="F39">
        <v>50</v>
      </c>
      <c r="K39">
        <f t="shared" si="31"/>
        <v>84</v>
      </c>
      <c r="L39">
        <v>12</v>
      </c>
      <c r="M39">
        <v>3</v>
      </c>
      <c r="N39">
        <v>8</v>
      </c>
      <c r="O39" s="10" t="s">
        <v>438</v>
      </c>
      <c r="P39" s="10" t="s">
        <v>428</v>
      </c>
      <c r="T39" s="10" t="s">
        <v>453</v>
      </c>
      <c r="V39" t="s">
        <v>281</v>
      </c>
      <c r="X39" t="s">
        <v>283</v>
      </c>
      <c r="AG39" t="s">
        <v>266</v>
      </c>
      <c r="AH39">
        <v>200</v>
      </c>
      <c r="AI39" t="s">
        <v>456</v>
      </c>
      <c r="AJ39" t="s">
        <v>457</v>
      </c>
      <c r="AK39" t="s">
        <v>458</v>
      </c>
      <c r="AL39" t="s">
        <v>459</v>
      </c>
      <c r="AM39" t="s">
        <v>460</v>
      </c>
      <c r="AN39" t="s">
        <v>461</v>
      </c>
      <c r="AO39" t="s">
        <v>462</v>
      </c>
      <c r="AP39" t="s">
        <v>463</v>
      </c>
      <c r="BM39" t="str">
        <f t="shared" si="32"/>
        <v>1 Tütün tabakasi güzel dokulu falan | Braun XL | Deutsch)</v>
      </c>
      <c r="BN39" s="11" t="s">
        <v>464</v>
      </c>
      <c r="BO39" t="str">
        <f t="shared" si="27"/>
        <v>1 Tütün tabakasi güzel dokulu falan | Braun XL | Deutsch)BULLET-1</v>
      </c>
      <c r="BP39" t="str">
        <f t="shared" si="28"/>
        <v>1 Tütün tabakasi güzel dokulu falan | Braun XL | Deutsch)BULLET-2</v>
      </c>
      <c r="BQ39" t="str">
        <f t="shared" si="29"/>
        <v>1 Tütün tabakasi güzel dokulu falan | Braun XL | Deutsch)BULLET-3</v>
      </c>
      <c r="BR39" t="str">
        <f t="shared" si="33"/>
        <v>1 Tütün tabakasi güzel dokulu falan | Braun XL | English)</v>
      </c>
      <c r="BS39" s="11" t="s">
        <v>465</v>
      </c>
      <c r="BT39" t="str">
        <f t="shared" si="5"/>
        <v>1 Tütün tabakasi güzel dokulu falan | Braun XL | English)BULLET-1</v>
      </c>
      <c r="BU39" t="str">
        <f t="shared" si="6"/>
        <v>1 Tütün tabakasi güzel dokulu falan | Braun XL | English)BULLET-2</v>
      </c>
      <c r="BV39" t="str">
        <f t="shared" si="7"/>
        <v>1 Tütün tabakasi güzel dokulu falan | Braun XL | English)BULLET-3</v>
      </c>
      <c r="BW39" t="str">
        <f t="shared" si="34"/>
        <v>1 Tütün tabakasi güzel dokulu falan | Braun XL | Türkçe)</v>
      </c>
      <c r="BX39" s="11" t="s">
        <v>466</v>
      </c>
      <c r="BY39" t="str">
        <f t="shared" si="9"/>
        <v>1 Tütün tabakasi güzel dokulu falan | Braun XL | Türkçe)BULLET-1</v>
      </c>
      <c r="BZ39" t="str">
        <f t="shared" si="10"/>
        <v>1 Tütün tabakasi güzel dokulu falan | Braun XL | Türkçe)BULLET-2</v>
      </c>
      <c r="CA39" t="str">
        <f t="shared" si="11"/>
        <v>1 Tütün tabakasi güzel dokulu falan | Braun XL | Türkçe)BULLET-3</v>
      </c>
      <c r="CB39" t="str">
        <f t="shared" si="35"/>
        <v>1 Tütün tabakasi güzel dokulu falan | Braun XL | Français)</v>
      </c>
      <c r="CC39" s="11" t="s">
        <v>467</v>
      </c>
      <c r="CD39" t="str">
        <f t="shared" si="13"/>
        <v>1 Tütün tabakasi güzel dokulu falan | Braun XL | Français)BULLET-1</v>
      </c>
      <c r="CE39" t="str">
        <f t="shared" si="14"/>
        <v>1 Tütün tabakasi güzel dokulu falan | Braun XL | Français)BULLET-2</v>
      </c>
      <c r="CF39" t="str">
        <f t="shared" si="15"/>
        <v>1 Tütün tabakasi güzel dokulu falan | Braun XL | Français)BULLET-3</v>
      </c>
      <c r="CG39" t="str">
        <f t="shared" si="36"/>
        <v>1 Tütün tabakasi güzel dokulu falan | Braun XL | Italiano)</v>
      </c>
      <c r="CH39" s="11" t="s">
        <v>468</v>
      </c>
      <c r="CI39" t="str">
        <f t="shared" si="17"/>
        <v>1 Tütün tabakasi güzel dokulu falan | Braun XL | Italiano)BULLET-1</v>
      </c>
      <c r="CJ39" t="str">
        <f t="shared" si="18"/>
        <v>1 Tütün tabakasi güzel dokulu falan | Braun XL | Italiano)BULLET-2</v>
      </c>
      <c r="CK39" t="str">
        <f t="shared" si="19"/>
        <v>1 Tütün tabakasi güzel dokulu falan | Braun XL | Italiano)BULLET-3</v>
      </c>
      <c r="CL39" t="str">
        <f t="shared" si="37"/>
        <v>1 Tütün tabakasi güzel dokulu falan | Braun XL | Español)</v>
      </c>
      <c r="CM39" s="11" t="s">
        <v>469</v>
      </c>
      <c r="CN39" t="str">
        <f t="shared" si="21"/>
        <v>1 Tütün tabakasi güzel dokulu falan | Braun XL | Español)BULLET-1</v>
      </c>
      <c r="CO39" t="str">
        <f t="shared" si="22"/>
        <v>1 Tütün tabakasi güzel dokulu falan | Braun XL | Español)BULLET-2</v>
      </c>
      <c r="CP39" t="str">
        <f t="shared" si="23"/>
        <v>1 Tütün tabakasi güzel dokulu falan | Braun XL | Español)BULLET-3</v>
      </c>
      <c r="CQ39">
        <v>10</v>
      </c>
      <c r="CT39">
        <v>12</v>
      </c>
      <c r="CW39">
        <v>12</v>
      </c>
      <c r="CZ39">
        <v>14</v>
      </c>
      <c r="DC39">
        <v>16</v>
      </c>
      <c r="DF39">
        <v>18</v>
      </c>
      <c r="DI39">
        <f t="shared" si="30"/>
        <v>616</v>
      </c>
      <c r="DO39" t="str">
        <f t="shared" si="24"/>
        <v>1SEO1 Tütün tabakasi güzel dokulu falan | Braun XL</v>
      </c>
      <c r="DP39" t="str">
        <f t="shared" si="25"/>
        <v>1SEO1 Tütün tabakasi güzel dokulu falan | Braun XL DESCRIPTION</v>
      </c>
      <c r="DQ39" t="str">
        <f t="shared" si="26"/>
        <v>1SEO1 Tütün tabakasi güzel dokulu falan | Braun XL KEYWORD</v>
      </c>
    </row>
    <row r="40" spans="1:121" ht="15" customHeight="1" x14ac:dyDescent="0.25">
      <c r="A40" t="s">
        <v>236</v>
      </c>
      <c r="B40" t="s">
        <v>320</v>
      </c>
      <c r="C40" t="s">
        <v>274</v>
      </c>
      <c r="D40" t="s">
        <v>228</v>
      </c>
      <c r="E40" s="9" t="s">
        <v>389</v>
      </c>
      <c r="F40">
        <v>50</v>
      </c>
      <c r="K40">
        <f t="shared" si="31"/>
        <v>85</v>
      </c>
      <c r="L40">
        <v>12</v>
      </c>
      <c r="M40">
        <v>3</v>
      </c>
      <c r="N40">
        <v>8</v>
      </c>
      <c r="O40" s="10" t="s">
        <v>439</v>
      </c>
      <c r="P40" s="10" t="s">
        <v>428</v>
      </c>
      <c r="T40" s="10" t="s">
        <v>450</v>
      </c>
      <c r="V40" t="s">
        <v>282</v>
      </c>
      <c r="X40" t="s">
        <v>283</v>
      </c>
      <c r="AG40" t="s">
        <v>266</v>
      </c>
      <c r="AH40">
        <v>200</v>
      </c>
      <c r="AI40" t="s">
        <v>456</v>
      </c>
      <c r="AJ40" t="s">
        <v>457</v>
      </c>
      <c r="AK40" t="s">
        <v>458</v>
      </c>
      <c r="AL40" t="s">
        <v>459</v>
      </c>
      <c r="AM40" t="s">
        <v>460</v>
      </c>
      <c r="AN40" t="s">
        <v>461</v>
      </c>
      <c r="AO40" t="s">
        <v>462</v>
      </c>
      <c r="AP40" t="s">
        <v>463</v>
      </c>
      <c r="BM40" t="str">
        <f t="shared" si="32"/>
        <v>1 Tütün tabakasi güzel dokulu falan | Rosa XL | Deutsch)</v>
      </c>
      <c r="BN40" s="11" t="s">
        <v>464</v>
      </c>
      <c r="BO40" t="str">
        <f t="shared" si="27"/>
        <v>1 Tütün tabakasi güzel dokulu falan | Rosa XL | Deutsch)BULLET-1</v>
      </c>
      <c r="BP40" t="str">
        <f t="shared" si="28"/>
        <v>1 Tütün tabakasi güzel dokulu falan | Rosa XL | Deutsch)BULLET-2</v>
      </c>
      <c r="BQ40" t="str">
        <f t="shared" si="29"/>
        <v>1 Tütün tabakasi güzel dokulu falan | Rosa XL | Deutsch)BULLET-3</v>
      </c>
      <c r="BR40" t="str">
        <f t="shared" si="33"/>
        <v>1 Tütün tabakasi güzel dokulu falan | Rosa XL | English)</v>
      </c>
      <c r="BS40" s="11" t="s">
        <v>465</v>
      </c>
      <c r="BT40" t="str">
        <f t="shared" si="5"/>
        <v>1 Tütün tabakasi güzel dokulu falan | Rosa XL | English)BULLET-1</v>
      </c>
      <c r="BU40" t="str">
        <f t="shared" si="6"/>
        <v>1 Tütün tabakasi güzel dokulu falan | Rosa XL | English)BULLET-2</v>
      </c>
      <c r="BV40" t="str">
        <f t="shared" si="7"/>
        <v>1 Tütün tabakasi güzel dokulu falan | Rosa XL | English)BULLET-3</v>
      </c>
      <c r="BW40" t="str">
        <f t="shared" si="34"/>
        <v>1 Tütün tabakasi güzel dokulu falan | Rosa XL | Türkçe)</v>
      </c>
      <c r="BX40" s="11" t="s">
        <v>466</v>
      </c>
      <c r="BY40" t="str">
        <f t="shared" si="9"/>
        <v>1 Tütün tabakasi güzel dokulu falan | Rosa XL | Türkçe)BULLET-1</v>
      </c>
      <c r="BZ40" t="str">
        <f t="shared" si="10"/>
        <v>1 Tütün tabakasi güzel dokulu falan | Rosa XL | Türkçe)BULLET-2</v>
      </c>
      <c r="CA40" t="str">
        <f t="shared" si="11"/>
        <v>1 Tütün tabakasi güzel dokulu falan | Rosa XL | Türkçe)BULLET-3</v>
      </c>
      <c r="CB40" t="str">
        <f t="shared" si="35"/>
        <v>1 Tütün tabakasi güzel dokulu falan | Rosa XL | Français)</v>
      </c>
      <c r="CC40" s="11" t="s">
        <v>467</v>
      </c>
      <c r="CD40" t="str">
        <f t="shared" si="13"/>
        <v>1 Tütün tabakasi güzel dokulu falan | Rosa XL | Français)BULLET-1</v>
      </c>
      <c r="CE40" t="str">
        <f t="shared" si="14"/>
        <v>1 Tütün tabakasi güzel dokulu falan | Rosa XL | Français)BULLET-2</v>
      </c>
      <c r="CF40" t="str">
        <f t="shared" si="15"/>
        <v>1 Tütün tabakasi güzel dokulu falan | Rosa XL | Français)BULLET-3</v>
      </c>
      <c r="CG40" t="str">
        <f t="shared" si="36"/>
        <v>1 Tütün tabakasi güzel dokulu falan | Rosa XL | Italiano)</v>
      </c>
      <c r="CH40" s="11" t="s">
        <v>468</v>
      </c>
      <c r="CI40" t="str">
        <f t="shared" si="17"/>
        <v>1 Tütün tabakasi güzel dokulu falan | Rosa XL | Italiano)BULLET-1</v>
      </c>
      <c r="CJ40" t="str">
        <f t="shared" si="18"/>
        <v>1 Tütün tabakasi güzel dokulu falan | Rosa XL | Italiano)BULLET-2</v>
      </c>
      <c r="CK40" t="str">
        <f t="shared" si="19"/>
        <v>1 Tütün tabakasi güzel dokulu falan | Rosa XL | Italiano)BULLET-3</v>
      </c>
      <c r="CL40" t="str">
        <f t="shared" si="37"/>
        <v>1 Tütün tabakasi güzel dokulu falan | Rosa XL | Español)</v>
      </c>
      <c r="CM40" s="11" t="s">
        <v>469</v>
      </c>
      <c r="CN40" t="str">
        <f t="shared" si="21"/>
        <v>1 Tütün tabakasi güzel dokulu falan | Rosa XL | Español)BULLET-1</v>
      </c>
      <c r="CO40" t="str">
        <f t="shared" si="22"/>
        <v>1 Tütün tabakasi güzel dokulu falan | Rosa XL | Español)BULLET-2</v>
      </c>
      <c r="CP40" t="str">
        <f t="shared" si="23"/>
        <v>1 Tütün tabakasi güzel dokulu falan | Rosa XL | Español)BULLET-3</v>
      </c>
      <c r="CQ40">
        <v>10</v>
      </c>
      <c r="CT40">
        <v>12</v>
      </c>
      <c r="CW40">
        <v>12</v>
      </c>
      <c r="CZ40">
        <v>14</v>
      </c>
      <c r="DC40">
        <v>16</v>
      </c>
      <c r="DF40">
        <v>18</v>
      </c>
      <c r="DI40">
        <f t="shared" si="30"/>
        <v>615</v>
      </c>
      <c r="DO40" t="str">
        <f t="shared" si="24"/>
        <v>1SEO1 Tütün tabakasi güzel dokulu falan | Rosa XL</v>
      </c>
      <c r="DP40" t="str">
        <f t="shared" si="25"/>
        <v>1SEO1 Tütün tabakasi güzel dokulu falan | Rosa XL DESCRIPTION</v>
      </c>
      <c r="DQ40" t="str">
        <f t="shared" si="26"/>
        <v>1SEO1 Tütün tabakasi güzel dokulu falan | Rosa XL KEYWORD</v>
      </c>
    </row>
    <row r="41" spans="1:121" ht="15" customHeight="1" x14ac:dyDescent="0.25">
      <c r="A41" t="s">
        <v>227</v>
      </c>
      <c r="B41" t="s">
        <v>284</v>
      </c>
      <c r="D41" t="s">
        <v>228</v>
      </c>
      <c r="E41" s="9"/>
      <c r="G41" t="s">
        <v>231</v>
      </c>
      <c r="H41" t="s">
        <v>426</v>
      </c>
      <c r="I41" t="s">
        <v>232</v>
      </c>
      <c r="U41" t="s">
        <v>234</v>
      </c>
      <c r="W41" t="s">
        <v>235</v>
      </c>
      <c r="BM41" t="s">
        <v>471</v>
      </c>
      <c r="BN41" t="s">
        <v>471</v>
      </c>
      <c r="BO41" t="s">
        <v>471</v>
      </c>
      <c r="BP41" t="s">
        <v>471</v>
      </c>
      <c r="BQ41" t="s">
        <v>471</v>
      </c>
      <c r="BR41" t="s">
        <v>471</v>
      </c>
      <c r="BS41" t="s">
        <v>471</v>
      </c>
      <c r="BT41" t="s">
        <v>471</v>
      </c>
      <c r="BU41" t="s">
        <v>471</v>
      </c>
      <c r="BV41" t="s">
        <v>471</v>
      </c>
      <c r="BW41" t="s">
        <v>471</v>
      </c>
      <c r="BX41" t="s">
        <v>471</v>
      </c>
      <c r="BY41" t="s">
        <v>471</v>
      </c>
      <c r="BZ41" t="s">
        <v>471</v>
      </c>
      <c r="CA41" t="s">
        <v>471</v>
      </c>
      <c r="CB41" t="s">
        <v>471</v>
      </c>
      <c r="CC41" t="s">
        <v>471</v>
      </c>
      <c r="CD41" t="s">
        <v>471</v>
      </c>
      <c r="CE41" t="s">
        <v>471</v>
      </c>
      <c r="CF41" t="s">
        <v>471</v>
      </c>
      <c r="CG41" t="s">
        <v>471</v>
      </c>
      <c r="CH41" t="s">
        <v>471</v>
      </c>
      <c r="CI41" t="s">
        <v>471</v>
      </c>
      <c r="CJ41" t="s">
        <v>471</v>
      </c>
      <c r="CK41" t="s">
        <v>471</v>
      </c>
      <c r="CL41" t="s">
        <v>471</v>
      </c>
      <c r="CM41" t="s">
        <v>471</v>
      </c>
      <c r="CN41" t="s">
        <v>471</v>
      </c>
      <c r="CO41" t="s">
        <v>471</v>
      </c>
      <c r="CP41" t="s">
        <v>471</v>
      </c>
    </row>
    <row r="42" spans="1:121" ht="15" customHeight="1" x14ac:dyDescent="0.25">
      <c r="A42" t="s">
        <v>236</v>
      </c>
      <c r="B42" t="s">
        <v>321</v>
      </c>
      <c r="C42" t="s">
        <v>284</v>
      </c>
      <c r="D42" t="s">
        <v>228</v>
      </c>
      <c r="E42" s="9" t="s">
        <v>390</v>
      </c>
      <c r="F42">
        <v>50</v>
      </c>
      <c r="K42">
        <v>86</v>
      </c>
      <c r="L42">
        <v>12</v>
      </c>
      <c r="M42">
        <v>3</v>
      </c>
      <c r="N42">
        <v>8</v>
      </c>
      <c r="O42" s="10" t="s">
        <v>431</v>
      </c>
      <c r="P42" s="10" t="s">
        <v>432</v>
      </c>
      <c r="T42" s="10" t="s">
        <v>431</v>
      </c>
      <c r="V42" t="s">
        <v>238</v>
      </c>
      <c r="X42" t="s">
        <v>239</v>
      </c>
      <c r="AG42" t="s">
        <v>266</v>
      </c>
      <c r="AH42">
        <v>200</v>
      </c>
      <c r="AI42" t="s">
        <v>456</v>
      </c>
      <c r="AJ42" t="s">
        <v>457</v>
      </c>
      <c r="AK42" t="s">
        <v>458</v>
      </c>
      <c r="AL42" t="s">
        <v>459</v>
      </c>
      <c r="AM42" t="s">
        <v>460</v>
      </c>
      <c r="AN42" t="s">
        <v>461</v>
      </c>
      <c r="AO42" t="s">
        <v>462</v>
      </c>
      <c r="AP42" t="s">
        <v>463</v>
      </c>
      <c r="BM42" t="str">
        <f>"2 Tütün tabakasi güzel dokulu falan"&amp;" | "&amp;$V42&amp;" "&amp;$X42&amp;" | "&amp;MID(BM$3,FIND("(",BM$3,1)+1,10)</f>
        <v>2 Tütün tabakasi güzel dokulu falan | Rot S | Deutsch)</v>
      </c>
      <c r="BN42" s="11" t="s">
        <v>464</v>
      </c>
      <c r="BO42" t="str">
        <f t="shared" ref="BO42" si="38">BM42&amp;"BULLET-1"</f>
        <v>2 Tütün tabakasi güzel dokulu falan | Rot S | Deutsch)BULLET-1</v>
      </c>
      <c r="BP42" t="str">
        <f t="shared" ref="BP42" si="39">BM42&amp;"BULLET-2"</f>
        <v>2 Tütün tabakasi güzel dokulu falan | Rot S | Deutsch)BULLET-2</v>
      </c>
      <c r="BQ42" t="str">
        <f t="shared" ref="BQ42" si="40">BM42&amp;"BULLET-3"</f>
        <v>2 Tütün tabakasi güzel dokulu falan | Rot S | Deutsch)BULLET-3</v>
      </c>
      <c r="BR42" t="str">
        <f>"2 Tütün tabakasi güzel dokulu falan"&amp;" | "&amp;$V42&amp;" "&amp;$X42&amp;" | "&amp;MID(BR$3,FIND("(",BR$3,1)+1,10)</f>
        <v>2 Tütün tabakasi güzel dokulu falan | Rot S | English)</v>
      </c>
      <c r="BS42" s="11" t="s">
        <v>465</v>
      </c>
      <c r="BT42" t="str">
        <f t="shared" ref="BT42" si="41">BR42&amp;"BULLET-1"</f>
        <v>2 Tütün tabakasi güzel dokulu falan | Rot S | English)BULLET-1</v>
      </c>
      <c r="BU42" t="str">
        <f t="shared" ref="BU42" si="42">BR42&amp;"BULLET-2"</f>
        <v>2 Tütün tabakasi güzel dokulu falan | Rot S | English)BULLET-2</v>
      </c>
      <c r="BV42" t="str">
        <f t="shared" ref="BV42" si="43">BR42&amp;"BULLET-3"</f>
        <v>2 Tütün tabakasi güzel dokulu falan | Rot S | English)BULLET-3</v>
      </c>
      <c r="BW42" t="str">
        <f>"2 Tütün tabakasi güzel dokulu falan"&amp;" | "&amp;$V42&amp;" "&amp;$X42&amp;" | "&amp;MID(BW$3,FIND("(",BW$3,1)+1,10)</f>
        <v>2 Tütün tabakasi güzel dokulu falan | Rot S | Türkçe)</v>
      </c>
      <c r="BX42" s="11" t="s">
        <v>466</v>
      </c>
      <c r="BY42" t="str">
        <f t="shared" ref="BY42" si="44">BW42&amp;"BULLET-1"</f>
        <v>2 Tütün tabakasi güzel dokulu falan | Rot S | Türkçe)BULLET-1</v>
      </c>
      <c r="BZ42" t="str">
        <f t="shared" ref="BZ42" si="45">BW42&amp;"BULLET-2"</f>
        <v>2 Tütün tabakasi güzel dokulu falan | Rot S | Türkçe)BULLET-2</v>
      </c>
      <c r="CA42" t="str">
        <f t="shared" ref="CA42" si="46">BW42&amp;"BULLET-3"</f>
        <v>2 Tütün tabakasi güzel dokulu falan | Rot S | Türkçe)BULLET-3</v>
      </c>
      <c r="CB42" t="str">
        <f>"2 Tütün tabakasi güzel dokulu falan"&amp;" | "&amp;$V42&amp;" "&amp;$X42&amp;" | "&amp;MID(CB$3,FIND("(",CB$3,1)+1,10)</f>
        <v>2 Tütün tabakasi güzel dokulu falan | Rot S | Français)</v>
      </c>
      <c r="CC42" s="11" t="s">
        <v>467</v>
      </c>
      <c r="CD42" t="str">
        <f t="shared" ref="CD42" si="47">CB42&amp;"BULLET-1"</f>
        <v>2 Tütün tabakasi güzel dokulu falan | Rot S | Français)BULLET-1</v>
      </c>
      <c r="CE42" t="str">
        <f t="shared" ref="CE42" si="48">CB42&amp;"BULLET-2"</f>
        <v>2 Tütün tabakasi güzel dokulu falan | Rot S | Français)BULLET-2</v>
      </c>
      <c r="CF42" t="str">
        <f t="shared" ref="CF42" si="49">CB42&amp;"BULLET-3"</f>
        <v>2 Tütün tabakasi güzel dokulu falan | Rot S | Français)BULLET-3</v>
      </c>
      <c r="CG42" t="str">
        <f>"2 Tütün tabakasi güzel dokulu falan"&amp;" | "&amp;$V42&amp;" "&amp;$X42&amp;" | "&amp;MID(CG$3,FIND("(",CG$3,1)+1,10)</f>
        <v>2 Tütün tabakasi güzel dokulu falan | Rot S | Italiano)</v>
      </c>
      <c r="CH42" s="11" t="s">
        <v>468</v>
      </c>
      <c r="CI42" t="str">
        <f t="shared" ref="CI42" si="50">CG42&amp;"BULLET-1"</f>
        <v>2 Tütün tabakasi güzel dokulu falan | Rot S | Italiano)BULLET-1</v>
      </c>
      <c r="CJ42" t="str">
        <f t="shared" ref="CJ42" si="51">CG42&amp;"BULLET-2"</f>
        <v>2 Tütün tabakasi güzel dokulu falan | Rot S | Italiano)BULLET-2</v>
      </c>
      <c r="CK42" t="str">
        <f t="shared" ref="CK42" si="52">CG42&amp;"BULLET-3"</f>
        <v>2 Tütün tabakasi güzel dokulu falan | Rot S | Italiano)BULLET-3</v>
      </c>
      <c r="CL42" t="str">
        <f>"2 Tütün tabakasi güzel dokulu falan"&amp;" | "&amp;$V42&amp;" "&amp;$X42&amp;" | "&amp;MID(CL$3,FIND("(",CL$3,1)+1,10)</f>
        <v>2 Tütün tabakasi güzel dokulu falan | Rot S | Español)</v>
      </c>
      <c r="CM42" s="11" t="s">
        <v>469</v>
      </c>
      <c r="CN42" t="str">
        <f t="shared" ref="CN42" si="53">CL42&amp;"BULLET-1"</f>
        <v>2 Tütün tabakasi güzel dokulu falan | Rot S | Español)BULLET-1</v>
      </c>
      <c r="CO42" t="str">
        <f t="shared" ref="CO42" si="54">CL42&amp;"BULLET-2"</f>
        <v>2 Tütün tabakasi güzel dokulu falan | Rot S | Español)BULLET-2</v>
      </c>
      <c r="CP42" t="str">
        <f t="shared" ref="CP42" si="55">CL42&amp;"BULLET-3"</f>
        <v>2 Tütün tabakasi güzel dokulu falan | Rot S | Español)BULLET-3</v>
      </c>
      <c r="CQ42">
        <v>10</v>
      </c>
      <c r="CT42">
        <v>12</v>
      </c>
      <c r="CW42">
        <v>12</v>
      </c>
      <c r="CZ42">
        <v>14</v>
      </c>
      <c r="DC42">
        <v>16</v>
      </c>
      <c r="DF42">
        <v>18</v>
      </c>
      <c r="DI42">
        <v>614</v>
      </c>
      <c r="DO42" t="str">
        <f>"2SEO1 Tütün tabakasi güzel dokulu falan"&amp;" | "&amp;$V42&amp;" "&amp;$X42</f>
        <v>2SEO1 Tütün tabakasi güzel dokulu falan | Rot S</v>
      </c>
      <c r="DP42" t="str">
        <f t="shared" si="25"/>
        <v>2SEO1 Tütün tabakasi güzel dokulu falan | Rot S DESCRIPTION</v>
      </c>
      <c r="DQ42" t="str">
        <f t="shared" si="26"/>
        <v>2SEO1 Tütün tabakasi güzel dokulu falan | Rot S KEYWORD</v>
      </c>
    </row>
    <row r="43" spans="1:121" ht="15" customHeight="1" x14ac:dyDescent="0.25">
      <c r="A43" t="s">
        <v>236</v>
      </c>
      <c r="B43" t="s">
        <v>322</v>
      </c>
      <c r="C43" t="s">
        <v>284</v>
      </c>
      <c r="D43" t="s">
        <v>228</v>
      </c>
      <c r="E43" s="9" t="s">
        <v>391</v>
      </c>
      <c r="F43">
        <v>50</v>
      </c>
      <c r="K43">
        <f>K42+1</f>
        <v>87</v>
      </c>
      <c r="L43">
        <v>12</v>
      </c>
      <c r="M43">
        <v>3</v>
      </c>
      <c r="N43">
        <v>8</v>
      </c>
      <c r="O43" s="10" t="s">
        <v>441</v>
      </c>
      <c r="P43" s="10" t="s">
        <v>432</v>
      </c>
      <c r="T43" s="10" t="s">
        <v>441</v>
      </c>
      <c r="V43" t="s">
        <v>275</v>
      </c>
      <c r="X43" t="s">
        <v>239</v>
      </c>
      <c r="AG43" t="s">
        <v>266</v>
      </c>
      <c r="AH43">
        <v>200</v>
      </c>
      <c r="AI43" t="s">
        <v>456</v>
      </c>
      <c r="AJ43" t="s">
        <v>457</v>
      </c>
      <c r="AK43" t="s">
        <v>458</v>
      </c>
      <c r="AL43" t="s">
        <v>459</v>
      </c>
      <c r="AM43" t="s">
        <v>460</v>
      </c>
      <c r="AN43" t="s">
        <v>461</v>
      </c>
      <c r="AO43" t="s">
        <v>462</v>
      </c>
      <c r="AP43" t="s">
        <v>463</v>
      </c>
      <c r="BM43" t="str">
        <f t="shared" ref="BM43:BM77" si="56">"2 Tütün tabakasi güzel dokulu falan"&amp;" | "&amp;$V43&amp;" "&amp;$X43&amp;" | "&amp;MID(BM$3,FIND("(",BM$3,1)+1,10)</f>
        <v>2 Tütün tabakasi güzel dokulu falan | Schwarz S | Deutsch)</v>
      </c>
      <c r="BN43" s="11" t="s">
        <v>464</v>
      </c>
      <c r="BO43" t="str">
        <f t="shared" ref="BO43:BO77" si="57">BM43&amp;"BULLET-1"</f>
        <v>2 Tütün tabakasi güzel dokulu falan | Schwarz S | Deutsch)BULLET-1</v>
      </c>
      <c r="BP43" t="str">
        <f t="shared" ref="BP43:BP77" si="58">BM43&amp;"BULLET-2"</f>
        <v>2 Tütün tabakasi güzel dokulu falan | Schwarz S | Deutsch)BULLET-2</v>
      </c>
      <c r="BQ43" t="str">
        <f t="shared" ref="BQ43:BQ77" si="59">BM43&amp;"BULLET-3"</f>
        <v>2 Tütün tabakasi güzel dokulu falan | Schwarz S | Deutsch)BULLET-3</v>
      </c>
      <c r="BR43" t="str">
        <f t="shared" ref="BR43:BR77" si="60">"2 Tütün tabakasi güzel dokulu falan"&amp;" | "&amp;$V43&amp;" "&amp;$X43&amp;" | "&amp;MID(BR$3,FIND("(",BR$3,1)+1,10)</f>
        <v>2 Tütün tabakasi güzel dokulu falan | Schwarz S | English)</v>
      </c>
      <c r="BS43" s="11" t="s">
        <v>465</v>
      </c>
      <c r="BT43" t="str">
        <f t="shared" ref="BT43:BT77" si="61">BR43&amp;"BULLET-1"</f>
        <v>2 Tütün tabakasi güzel dokulu falan | Schwarz S | English)BULLET-1</v>
      </c>
      <c r="BU43" t="str">
        <f t="shared" ref="BU43:BU77" si="62">BR43&amp;"BULLET-2"</f>
        <v>2 Tütün tabakasi güzel dokulu falan | Schwarz S | English)BULLET-2</v>
      </c>
      <c r="BV43" t="str">
        <f t="shared" ref="BV43:BV77" si="63">BR43&amp;"BULLET-3"</f>
        <v>2 Tütün tabakasi güzel dokulu falan | Schwarz S | English)BULLET-3</v>
      </c>
      <c r="BW43" t="str">
        <f t="shared" ref="BW43:BW77" si="64">"2 Tütün tabakasi güzel dokulu falan"&amp;" | "&amp;$V43&amp;" "&amp;$X43&amp;" | "&amp;MID(BW$3,FIND("(",BW$3,1)+1,10)</f>
        <v>2 Tütün tabakasi güzel dokulu falan | Schwarz S | Türkçe)</v>
      </c>
      <c r="BX43" s="11" t="s">
        <v>466</v>
      </c>
      <c r="BY43" t="str">
        <f t="shared" ref="BY43:BY77" si="65">BW43&amp;"BULLET-1"</f>
        <v>2 Tütün tabakasi güzel dokulu falan | Schwarz S | Türkçe)BULLET-1</v>
      </c>
      <c r="BZ43" t="str">
        <f t="shared" ref="BZ43:BZ77" si="66">BW43&amp;"BULLET-2"</f>
        <v>2 Tütün tabakasi güzel dokulu falan | Schwarz S | Türkçe)BULLET-2</v>
      </c>
      <c r="CA43" t="str">
        <f t="shared" ref="CA43:CA77" si="67">BW43&amp;"BULLET-3"</f>
        <v>2 Tütün tabakasi güzel dokulu falan | Schwarz S | Türkçe)BULLET-3</v>
      </c>
      <c r="CB43" t="str">
        <f t="shared" ref="CB43:CB77" si="68">"2 Tütün tabakasi güzel dokulu falan"&amp;" | "&amp;$V43&amp;" "&amp;$X43&amp;" | "&amp;MID(CB$3,FIND("(",CB$3,1)+1,10)</f>
        <v>2 Tütün tabakasi güzel dokulu falan | Schwarz S | Français)</v>
      </c>
      <c r="CC43" s="11" t="s">
        <v>467</v>
      </c>
      <c r="CD43" t="str">
        <f t="shared" ref="CD43:CD77" si="69">CB43&amp;"BULLET-1"</f>
        <v>2 Tütün tabakasi güzel dokulu falan | Schwarz S | Français)BULLET-1</v>
      </c>
      <c r="CE43" t="str">
        <f t="shared" ref="CE43:CE77" si="70">CB43&amp;"BULLET-2"</f>
        <v>2 Tütün tabakasi güzel dokulu falan | Schwarz S | Français)BULLET-2</v>
      </c>
      <c r="CF43" t="str">
        <f t="shared" ref="CF43:CF77" si="71">CB43&amp;"BULLET-3"</f>
        <v>2 Tütün tabakasi güzel dokulu falan | Schwarz S | Français)BULLET-3</v>
      </c>
      <c r="CG43" t="str">
        <f t="shared" ref="CG43:CG77" si="72">"2 Tütün tabakasi güzel dokulu falan"&amp;" | "&amp;$V43&amp;" "&amp;$X43&amp;" | "&amp;MID(CG$3,FIND("(",CG$3,1)+1,10)</f>
        <v>2 Tütün tabakasi güzel dokulu falan | Schwarz S | Italiano)</v>
      </c>
      <c r="CH43" s="11" t="s">
        <v>468</v>
      </c>
      <c r="CI43" t="str">
        <f t="shared" ref="CI43:CI77" si="73">CG43&amp;"BULLET-1"</f>
        <v>2 Tütün tabakasi güzel dokulu falan | Schwarz S | Italiano)BULLET-1</v>
      </c>
      <c r="CJ43" t="str">
        <f t="shared" ref="CJ43:CJ77" si="74">CG43&amp;"BULLET-2"</f>
        <v>2 Tütün tabakasi güzel dokulu falan | Schwarz S | Italiano)BULLET-2</v>
      </c>
      <c r="CK43" t="str">
        <f t="shared" ref="CK43:CK77" si="75">CG43&amp;"BULLET-3"</f>
        <v>2 Tütün tabakasi güzel dokulu falan | Schwarz S | Italiano)BULLET-3</v>
      </c>
      <c r="CL43" t="str">
        <f t="shared" ref="CL43:CL77" si="76">"2 Tütün tabakasi güzel dokulu falan"&amp;" | "&amp;$V43&amp;" "&amp;$X43&amp;" | "&amp;MID(CL$3,FIND("(",CL$3,1)+1,10)</f>
        <v>2 Tütün tabakasi güzel dokulu falan | Schwarz S | Español)</v>
      </c>
      <c r="CM43" s="11" t="s">
        <v>469</v>
      </c>
      <c r="CN43" t="str">
        <f t="shared" ref="CN43:CN77" si="77">CL43&amp;"BULLET-1"</f>
        <v>2 Tütün tabakasi güzel dokulu falan | Schwarz S | Español)BULLET-1</v>
      </c>
      <c r="CO43" t="str">
        <f t="shared" ref="CO43:CO77" si="78">CL43&amp;"BULLET-2"</f>
        <v>2 Tütün tabakasi güzel dokulu falan | Schwarz S | Español)BULLET-2</v>
      </c>
      <c r="CP43" t="str">
        <f t="shared" ref="CP43:CP77" si="79">CL43&amp;"BULLET-3"</f>
        <v>2 Tütün tabakasi güzel dokulu falan | Schwarz S | Español)BULLET-3</v>
      </c>
      <c r="CQ43">
        <v>10</v>
      </c>
      <c r="CT43">
        <v>12</v>
      </c>
      <c r="CW43">
        <v>12</v>
      </c>
      <c r="CZ43">
        <v>14</v>
      </c>
      <c r="DC43">
        <v>16</v>
      </c>
      <c r="DF43">
        <v>18</v>
      </c>
      <c r="DI43">
        <f t="shared" ref="DI43:DI77" si="80">DI42-1</f>
        <v>613</v>
      </c>
      <c r="DO43" t="str">
        <f t="shared" ref="DO43:DO77" si="81">"2SEO1 Tütün tabakasi güzel dokulu falan"&amp;" | "&amp;$V43&amp;" "&amp;$X43</f>
        <v>2SEO1 Tütün tabakasi güzel dokulu falan | Schwarz S</v>
      </c>
      <c r="DP43" t="str">
        <f t="shared" si="25"/>
        <v>2SEO1 Tütün tabakasi güzel dokulu falan | Schwarz S DESCRIPTION</v>
      </c>
      <c r="DQ43" t="str">
        <f t="shared" si="26"/>
        <v>2SEO1 Tütün tabakasi güzel dokulu falan | Schwarz S KEYWORD</v>
      </c>
    </row>
    <row r="44" spans="1:121" ht="15" customHeight="1" x14ac:dyDescent="0.25">
      <c r="A44" t="s">
        <v>236</v>
      </c>
      <c r="B44" t="s">
        <v>323</v>
      </c>
      <c r="C44" t="s">
        <v>284</v>
      </c>
      <c r="D44" t="s">
        <v>228</v>
      </c>
      <c r="E44" s="9" t="s">
        <v>392</v>
      </c>
      <c r="F44">
        <v>50</v>
      </c>
      <c r="K44">
        <f t="shared" ref="K44:K77" si="82">K43+1</f>
        <v>88</v>
      </c>
      <c r="L44">
        <v>12</v>
      </c>
      <c r="M44">
        <v>3</v>
      </c>
      <c r="N44">
        <v>8</v>
      </c>
      <c r="O44" s="10" t="s">
        <v>442</v>
      </c>
      <c r="P44" s="10" t="s">
        <v>432</v>
      </c>
      <c r="T44" s="10" t="s">
        <v>442</v>
      </c>
      <c r="V44" t="s">
        <v>276</v>
      </c>
      <c r="X44" t="s">
        <v>239</v>
      </c>
      <c r="AG44" t="s">
        <v>266</v>
      </c>
      <c r="AH44">
        <v>200</v>
      </c>
      <c r="AI44" t="s">
        <v>456</v>
      </c>
      <c r="AJ44" t="s">
        <v>457</v>
      </c>
      <c r="AK44" t="s">
        <v>458</v>
      </c>
      <c r="AL44" t="s">
        <v>459</v>
      </c>
      <c r="AM44" t="s">
        <v>460</v>
      </c>
      <c r="AN44" t="s">
        <v>461</v>
      </c>
      <c r="AO44" t="s">
        <v>462</v>
      </c>
      <c r="AP44" t="s">
        <v>463</v>
      </c>
      <c r="BM44" t="str">
        <f t="shared" si="56"/>
        <v>2 Tütün tabakasi güzel dokulu falan | Weiß S | Deutsch)</v>
      </c>
      <c r="BN44" s="11" t="s">
        <v>464</v>
      </c>
      <c r="BO44" t="str">
        <f t="shared" si="57"/>
        <v>2 Tütün tabakasi güzel dokulu falan | Weiß S | Deutsch)BULLET-1</v>
      </c>
      <c r="BP44" t="str">
        <f t="shared" si="58"/>
        <v>2 Tütün tabakasi güzel dokulu falan | Weiß S | Deutsch)BULLET-2</v>
      </c>
      <c r="BQ44" t="str">
        <f t="shared" si="59"/>
        <v>2 Tütün tabakasi güzel dokulu falan | Weiß S | Deutsch)BULLET-3</v>
      </c>
      <c r="BR44" t="str">
        <f t="shared" si="60"/>
        <v>2 Tütün tabakasi güzel dokulu falan | Weiß S | English)</v>
      </c>
      <c r="BS44" s="11" t="s">
        <v>465</v>
      </c>
      <c r="BT44" t="str">
        <f t="shared" si="61"/>
        <v>2 Tütün tabakasi güzel dokulu falan | Weiß S | English)BULLET-1</v>
      </c>
      <c r="BU44" t="str">
        <f t="shared" si="62"/>
        <v>2 Tütün tabakasi güzel dokulu falan | Weiß S | English)BULLET-2</v>
      </c>
      <c r="BV44" t="str">
        <f t="shared" si="63"/>
        <v>2 Tütün tabakasi güzel dokulu falan | Weiß S | English)BULLET-3</v>
      </c>
      <c r="BW44" t="str">
        <f t="shared" si="64"/>
        <v>2 Tütün tabakasi güzel dokulu falan | Weiß S | Türkçe)</v>
      </c>
      <c r="BX44" s="11" t="s">
        <v>466</v>
      </c>
      <c r="BY44" t="str">
        <f t="shared" si="65"/>
        <v>2 Tütün tabakasi güzel dokulu falan | Weiß S | Türkçe)BULLET-1</v>
      </c>
      <c r="BZ44" t="str">
        <f t="shared" si="66"/>
        <v>2 Tütün tabakasi güzel dokulu falan | Weiß S | Türkçe)BULLET-2</v>
      </c>
      <c r="CA44" t="str">
        <f t="shared" si="67"/>
        <v>2 Tütün tabakasi güzel dokulu falan | Weiß S | Türkçe)BULLET-3</v>
      </c>
      <c r="CB44" t="str">
        <f t="shared" si="68"/>
        <v>2 Tütün tabakasi güzel dokulu falan | Weiß S | Français)</v>
      </c>
      <c r="CC44" s="11" t="s">
        <v>467</v>
      </c>
      <c r="CD44" t="str">
        <f t="shared" si="69"/>
        <v>2 Tütün tabakasi güzel dokulu falan | Weiß S | Français)BULLET-1</v>
      </c>
      <c r="CE44" t="str">
        <f t="shared" si="70"/>
        <v>2 Tütün tabakasi güzel dokulu falan | Weiß S | Français)BULLET-2</v>
      </c>
      <c r="CF44" t="str">
        <f t="shared" si="71"/>
        <v>2 Tütün tabakasi güzel dokulu falan | Weiß S | Français)BULLET-3</v>
      </c>
      <c r="CG44" t="str">
        <f t="shared" si="72"/>
        <v>2 Tütün tabakasi güzel dokulu falan | Weiß S | Italiano)</v>
      </c>
      <c r="CH44" s="11" t="s">
        <v>468</v>
      </c>
      <c r="CI44" t="str">
        <f t="shared" si="73"/>
        <v>2 Tütün tabakasi güzel dokulu falan | Weiß S | Italiano)BULLET-1</v>
      </c>
      <c r="CJ44" t="str">
        <f t="shared" si="74"/>
        <v>2 Tütün tabakasi güzel dokulu falan | Weiß S | Italiano)BULLET-2</v>
      </c>
      <c r="CK44" t="str">
        <f t="shared" si="75"/>
        <v>2 Tütün tabakasi güzel dokulu falan | Weiß S | Italiano)BULLET-3</v>
      </c>
      <c r="CL44" t="str">
        <f t="shared" si="76"/>
        <v>2 Tütün tabakasi güzel dokulu falan | Weiß S | Español)</v>
      </c>
      <c r="CM44" s="11" t="s">
        <v>469</v>
      </c>
      <c r="CN44" t="str">
        <f t="shared" si="77"/>
        <v>2 Tütün tabakasi güzel dokulu falan | Weiß S | Español)BULLET-1</v>
      </c>
      <c r="CO44" t="str">
        <f t="shared" si="78"/>
        <v>2 Tütün tabakasi güzel dokulu falan | Weiß S | Español)BULLET-2</v>
      </c>
      <c r="CP44" t="str">
        <f t="shared" si="79"/>
        <v>2 Tütün tabakasi güzel dokulu falan | Weiß S | Español)BULLET-3</v>
      </c>
      <c r="CQ44">
        <v>10</v>
      </c>
      <c r="CT44">
        <v>12</v>
      </c>
      <c r="CW44">
        <v>12</v>
      </c>
      <c r="CZ44">
        <v>14</v>
      </c>
      <c r="DC44">
        <v>16</v>
      </c>
      <c r="DF44">
        <v>18</v>
      </c>
      <c r="DI44">
        <f t="shared" si="80"/>
        <v>612</v>
      </c>
      <c r="DO44" t="str">
        <f t="shared" si="81"/>
        <v>2SEO1 Tütün tabakasi güzel dokulu falan | Weiß S</v>
      </c>
      <c r="DP44" t="str">
        <f t="shared" si="25"/>
        <v>2SEO1 Tütün tabakasi güzel dokulu falan | Weiß S DESCRIPTION</v>
      </c>
      <c r="DQ44" t="str">
        <f t="shared" si="26"/>
        <v>2SEO1 Tütün tabakasi güzel dokulu falan | Weiß S KEYWORD</v>
      </c>
    </row>
    <row r="45" spans="1:121" ht="15" customHeight="1" x14ac:dyDescent="0.25">
      <c r="A45" t="s">
        <v>236</v>
      </c>
      <c r="B45" t="s">
        <v>324</v>
      </c>
      <c r="C45" t="s">
        <v>284</v>
      </c>
      <c r="D45" t="s">
        <v>228</v>
      </c>
      <c r="E45" s="9" t="s">
        <v>393</v>
      </c>
      <c r="F45">
        <v>50</v>
      </c>
      <c r="K45">
        <f t="shared" si="82"/>
        <v>89</v>
      </c>
      <c r="L45">
        <v>12</v>
      </c>
      <c r="M45">
        <v>3</v>
      </c>
      <c r="N45">
        <v>8</v>
      </c>
      <c r="O45" s="10" t="s">
        <v>443</v>
      </c>
      <c r="P45" s="10" t="s">
        <v>432</v>
      </c>
      <c r="T45" s="10" t="s">
        <v>443</v>
      </c>
      <c r="V45" t="s">
        <v>277</v>
      </c>
      <c r="X45" t="s">
        <v>239</v>
      </c>
      <c r="AG45" t="s">
        <v>266</v>
      </c>
      <c r="AH45">
        <v>200</v>
      </c>
      <c r="AI45" t="s">
        <v>456</v>
      </c>
      <c r="AJ45" t="s">
        <v>457</v>
      </c>
      <c r="AK45" t="s">
        <v>458</v>
      </c>
      <c r="AL45" t="s">
        <v>459</v>
      </c>
      <c r="AM45" t="s">
        <v>460</v>
      </c>
      <c r="AN45" t="s">
        <v>461</v>
      </c>
      <c r="AO45" t="s">
        <v>462</v>
      </c>
      <c r="AP45" t="s">
        <v>463</v>
      </c>
      <c r="BM45" t="str">
        <f t="shared" si="56"/>
        <v>2 Tütün tabakasi güzel dokulu falan | Grün S | Deutsch)</v>
      </c>
      <c r="BN45" s="11" t="s">
        <v>464</v>
      </c>
      <c r="BO45" t="str">
        <f t="shared" si="57"/>
        <v>2 Tütün tabakasi güzel dokulu falan | Grün S | Deutsch)BULLET-1</v>
      </c>
      <c r="BP45" t="str">
        <f t="shared" si="58"/>
        <v>2 Tütün tabakasi güzel dokulu falan | Grün S | Deutsch)BULLET-2</v>
      </c>
      <c r="BQ45" t="str">
        <f t="shared" si="59"/>
        <v>2 Tütün tabakasi güzel dokulu falan | Grün S | Deutsch)BULLET-3</v>
      </c>
      <c r="BR45" t="str">
        <f t="shared" si="60"/>
        <v>2 Tütün tabakasi güzel dokulu falan | Grün S | English)</v>
      </c>
      <c r="BS45" s="11" t="s">
        <v>465</v>
      </c>
      <c r="BT45" t="str">
        <f t="shared" si="61"/>
        <v>2 Tütün tabakasi güzel dokulu falan | Grün S | English)BULLET-1</v>
      </c>
      <c r="BU45" t="str">
        <f t="shared" si="62"/>
        <v>2 Tütün tabakasi güzel dokulu falan | Grün S | English)BULLET-2</v>
      </c>
      <c r="BV45" t="str">
        <f t="shared" si="63"/>
        <v>2 Tütün tabakasi güzel dokulu falan | Grün S | English)BULLET-3</v>
      </c>
      <c r="BW45" t="str">
        <f t="shared" si="64"/>
        <v>2 Tütün tabakasi güzel dokulu falan | Grün S | Türkçe)</v>
      </c>
      <c r="BX45" s="11" t="s">
        <v>466</v>
      </c>
      <c r="BY45" t="str">
        <f t="shared" si="65"/>
        <v>2 Tütün tabakasi güzel dokulu falan | Grün S | Türkçe)BULLET-1</v>
      </c>
      <c r="BZ45" t="str">
        <f t="shared" si="66"/>
        <v>2 Tütün tabakasi güzel dokulu falan | Grün S | Türkçe)BULLET-2</v>
      </c>
      <c r="CA45" t="str">
        <f t="shared" si="67"/>
        <v>2 Tütün tabakasi güzel dokulu falan | Grün S | Türkçe)BULLET-3</v>
      </c>
      <c r="CB45" t="str">
        <f t="shared" si="68"/>
        <v>2 Tütün tabakasi güzel dokulu falan | Grün S | Français)</v>
      </c>
      <c r="CC45" s="11" t="s">
        <v>467</v>
      </c>
      <c r="CD45" t="str">
        <f t="shared" si="69"/>
        <v>2 Tütün tabakasi güzel dokulu falan | Grün S | Français)BULLET-1</v>
      </c>
      <c r="CE45" t="str">
        <f t="shared" si="70"/>
        <v>2 Tütün tabakasi güzel dokulu falan | Grün S | Français)BULLET-2</v>
      </c>
      <c r="CF45" t="str">
        <f t="shared" si="71"/>
        <v>2 Tütün tabakasi güzel dokulu falan | Grün S | Français)BULLET-3</v>
      </c>
      <c r="CG45" t="str">
        <f t="shared" si="72"/>
        <v>2 Tütün tabakasi güzel dokulu falan | Grün S | Italiano)</v>
      </c>
      <c r="CH45" s="11" t="s">
        <v>468</v>
      </c>
      <c r="CI45" t="str">
        <f t="shared" si="73"/>
        <v>2 Tütün tabakasi güzel dokulu falan | Grün S | Italiano)BULLET-1</v>
      </c>
      <c r="CJ45" t="str">
        <f t="shared" si="74"/>
        <v>2 Tütün tabakasi güzel dokulu falan | Grün S | Italiano)BULLET-2</v>
      </c>
      <c r="CK45" t="str">
        <f t="shared" si="75"/>
        <v>2 Tütün tabakasi güzel dokulu falan | Grün S | Italiano)BULLET-3</v>
      </c>
      <c r="CL45" t="str">
        <f t="shared" si="76"/>
        <v>2 Tütün tabakasi güzel dokulu falan | Grün S | Español)</v>
      </c>
      <c r="CM45" s="11" t="s">
        <v>469</v>
      </c>
      <c r="CN45" t="str">
        <f t="shared" si="77"/>
        <v>2 Tütün tabakasi güzel dokulu falan | Grün S | Español)BULLET-1</v>
      </c>
      <c r="CO45" t="str">
        <f t="shared" si="78"/>
        <v>2 Tütün tabakasi güzel dokulu falan | Grün S | Español)BULLET-2</v>
      </c>
      <c r="CP45" t="str">
        <f t="shared" si="79"/>
        <v>2 Tütün tabakasi güzel dokulu falan | Grün S | Español)BULLET-3</v>
      </c>
      <c r="CQ45">
        <v>10</v>
      </c>
      <c r="CT45">
        <v>12</v>
      </c>
      <c r="CW45">
        <v>12</v>
      </c>
      <c r="CZ45">
        <v>14</v>
      </c>
      <c r="DC45">
        <v>16</v>
      </c>
      <c r="DF45">
        <v>18</v>
      </c>
      <c r="DI45">
        <f t="shared" si="80"/>
        <v>611</v>
      </c>
      <c r="DO45" t="str">
        <f t="shared" si="81"/>
        <v>2SEO1 Tütün tabakasi güzel dokulu falan | Grün S</v>
      </c>
      <c r="DP45" t="str">
        <f t="shared" si="25"/>
        <v>2SEO1 Tütün tabakasi güzel dokulu falan | Grün S DESCRIPTION</v>
      </c>
      <c r="DQ45" t="str">
        <f t="shared" si="26"/>
        <v>2SEO1 Tütün tabakasi güzel dokulu falan | Grün S KEYWORD</v>
      </c>
    </row>
    <row r="46" spans="1:121" ht="15" customHeight="1" x14ac:dyDescent="0.25">
      <c r="A46" t="s">
        <v>236</v>
      </c>
      <c r="B46" t="s">
        <v>325</v>
      </c>
      <c r="C46" t="s">
        <v>284</v>
      </c>
      <c r="D46" t="s">
        <v>228</v>
      </c>
      <c r="E46" s="9" t="s">
        <v>394</v>
      </c>
      <c r="F46">
        <v>50</v>
      </c>
      <c r="K46">
        <f t="shared" si="82"/>
        <v>90</v>
      </c>
      <c r="L46">
        <v>12</v>
      </c>
      <c r="M46">
        <v>3</v>
      </c>
      <c r="N46">
        <v>8</v>
      </c>
      <c r="O46" s="10" t="s">
        <v>444</v>
      </c>
      <c r="P46" s="10" t="s">
        <v>432</v>
      </c>
      <c r="T46" s="10" t="s">
        <v>444</v>
      </c>
      <c r="V46" t="s">
        <v>278</v>
      </c>
      <c r="X46" t="s">
        <v>239</v>
      </c>
      <c r="AG46" t="s">
        <v>266</v>
      </c>
      <c r="AH46">
        <v>200</v>
      </c>
      <c r="AI46" t="s">
        <v>456</v>
      </c>
      <c r="AJ46" t="s">
        <v>457</v>
      </c>
      <c r="AK46" t="s">
        <v>458</v>
      </c>
      <c r="AL46" t="s">
        <v>459</v>
      </c>
      <c r="AM46" t="s">
        <v>460</v>
      </c>
      <c r="AN46" t="s">
        <v>461</v>
      </c>
      <c r="AO46" t="s">
        <v>462</v>
      </c>
      <c r="AP46" t="s">
        <v>463</v>
      </c>
      <c r="BM46" t="str">
        <f t="shared" si="56"/>
        <v>2 Tütün tabakasi güzel dokulu falan | Blau S | Deutsch)</v>
      </c>
      <c r="BN46" s="11" t="s">
        <v>464</v>
      </c>
      <c r="BO46" t="str">
        <f t="shared" si="57"/>
        <v>2 Tütün tabakasi güzel dokulu falan | Blau S | Deutsch)BULLET-1</v>
      </c>
      <c r="BP46" t="str">
        <f t="shared" si="58"/>
        <v>2 Tütün tabakasi güzel dokulu falan | Blau S | Deutsch)BULLET-2</v>
      </c>
      <c r="BQ46" t="str">
        <f t="shared" si="59"/>
        <v>2 Tütün tabakasi güzel dokulu falan | Blau S | Deutsch)BULLET-3</v>
      </c>
      <c r="BR46" t="str">
        <f t="shared" si="60"/>
        <v>2 Tütün tabakasi güzel dokulu falan | Blau S | English)</v>
      </c>
      <c r="BS46" s="11" t="s">
        <v>465</v>
      </c>
      <c r="BT46" t="str">
        <f t="shared" si="61"/>
        <v>2 Tütün tabakasi güzel dokulu falan | Blau S | English)BULLET-1</v>
      </c>
      <c r="BU46" t="str">
        <f t="shared" si="62"/>
        <v>2 Tütün tabakasi güzel dokulu falan | Blau S | English)BULLET-2</v>
      </c>
      <c r="BV46" t="str">
        <f t="shared" si="63"/>
        <v>2 Tütün tabakasi güzel dokulu falan | Blau S | English)BULLET-3</v>
      </c>
      <c r="BW46" t="str">
        <f t="shared" si="64"/>
        <v>2 Tütün tabakasi güzel dokulu falan | Blau S | Türkçe)</v>
      </c>
      <c r="BX46" s="11" t="s">
        <v>466</v>
      </c>
      <c r="BY46" t="str">
        <f t="shared" si="65"/>
        <v>2 Tütün tabakasi güzel dokulu falan | Blau S | Türkçe)BULLET-1</v>
      </c>
      <c r="BZ46" t="str">
        <f t="shared" si="66"/>
        <v>2 Tütün tabakasi güzel dokulu falan | Blau S | Türkçe)BULLET-2</v>
      </c>
      <c r="CA46" t="str">
        <f t="shared" si="67"/>
        <v>2 Tütün tabakasi güzel dokulu falan | Blau S | Türkçe)BULLET-3</v>
      </c>
      <c r="CB46" t="str">
        <f t="shared" si="68"/>
        <v>2 Tütün tabakasi güzel dokulu falan | Blau S | Français)</v>
      </c>
      <c r="CC46" s="11" t="s">
        <v>467</v>
      </c>
      <c r="CD46" t="str">
        <f t="shared" si="69"/>
        <v>2 Tütün tabakasi güzel dokulu falan | Blau S | Français)BULLET-1</v>
      </c>
      <c r="CE46" t="str">
        <f t="shared" si="70"/>
        <v>2 Tütün tabakasi güzel dokulu falan | Blau S | Français)BULLET-2</v>
      </c>
      <c r="CF46" t="str">
        <f t="shared" si="71"/>
        <v>2 Tütün tabakasi güzel dokulu falan | Blau S | Français)BULLET-3</v>
      </c>
      <c r="CG46" t="str">
        <f t="shared" si="72"/>
        <v>2 Tütün tabakasi güzel dokulu falan | Blau S | Italiano)</v>
      </c>
      <c r="CH46" s="11" t="s">
        <v>468</v>
      </c>
      <c r="CI46" t="str">
        <f t="shared" si="73"/>
        <v>2 Tütün tabakasi güzel dokulu falan | Blau S | Italiano)BULLET-1</v>
      </c>
      <c r="CJ46" t="str">
        <f t="shared" si="74"/>
        <v>2 Tütün tabakasi güzel dokulu falan | Blau S | Italiano)BULLET-2</v>
      </c>
      <c r="CK46" t="str">
        <f t="shared" si="75"/>
        <v>2 Tütün tabakasi güzel dokulu falan | Blau S | Italiano)BULLET-3</v>
      </c>
      <c r="CL46" t="str">
        <f t="shared" si="76"/>
        <v>2 Tütün tabakasi güzel dokulu falan | Blau S | Español)</v>
      </c>
      <c r="CM46" s="11" t="s">
        <v>469</v>
      </c>
      <c r="CN46" t="str">
        <f t="shared" si="77"/>
        <v>2 Tütün tabakasi güzel dokulu falan | Blau S | Español)BULLET-1</v>
      </c>
      <c r="CO46" t="str">
        <f t="shared" si="78"/>
        <v>2 Tütün tabakasi güzel dokulu falan | Blau S | Español)BULLET-2</v>
      </c>
      <c r="CP46" t="str">
        <f t="shared" si="79"/>
        <v>2 Tütün tabakasi güzel dokulu falan | Blau S | Español)BULLET-3</v>
      </c>
      <c r="CQ46">
        <v>10</v>
      </c>
      <c r="CT46">
        <v>12</v>
      </c>
      <c r="CW46">
        <v>12</v>
      </c>
      <c r="CZ46">
        <v>14</v>
      </c>
      <c r="DC46">
        <v>16</v>
      </c>
      <c r="DF46">
        <v>18</v>
      </c>
      <c r="DI46">
        <f t="shared" si="80"/>
        <v>610</v>
      </c>
      <c r="DO46" t="str">
        <f t="shared" si="81"/>
        <v>2SEO1 Tütün tabakasi güzel dokulu falan | Blau S</v>
      </c>
      <c r="DP46" t="str">
        <f t="shared" si="25"/>
        <v>2SEO1 Tütün tabakasi güzel dokulu falan | Blau S DESCRIPTION</v>
      </c>
      <c r="DQ46" t="str">
        <f t="shared" si="26"/>
        <v>2SEO1 Tütün tabakasi güzel dokulu falan | Blau S KEYWORD</v>
      </c>
    </row>
    <row r="47" spans="1:121" ht="15" customHeight="1" x14ac:dyDescent="0.25">
      <c r="A47" t="s">
        <v>236</v>
      </c>
      <c r="B47" t="s">
        <v>326</v>
      </c>
      <c r="C47" t="s">
        <v>284</v>
      </c>
      <c r="D47" t="s">
        <v>228</v>
      </c>
      <c r="E47" s="9" t="s">
        <v>395</v>
      </c>
      <c r="F47">
        <v>50</v>
      </c>
      <c r="K47">
        <f t="shared" si="82"/>
        <v>91</v>
      </c>
      <c r="L47">
        <v>12</v>
      </c>
      <c r="M47">
        <v>3</v>
      </c>
      <c r="N47">
        <v>8</v>
      </c>
      <c r="O47" s="10" t="s">
        <v>445</v>
      </c>
      <c r="P47" s="10" t="s">
        <v>432</v>
      </c>
      <c r="T47" s="10" t="s">
        <v>445</v>
      </c>
      <c r="V47" t="s">
        <v>279</v>
      </c>
      <c r="X47" t="s">
        <v>239</v>
      </c>
      <c r="AG47" t="s">
        <v>266</v>
      </c>
      <c r="AH47">
        <v>200</v>
      </c>
      <c r="AI47" t="s">
        <v>456</v>
      </c>
      <c r="AJ47" t="s">
        <v>457</v>
      </c>
      <c r="AK47" t="s">
        <v>458</v>
      </c>
      <c r="AL47" t="s">
        <v>459</v>
      </c>
      <c r="AM47" t="s">
        <v>460</v>
      </c>
      <c r="AN47" t="s">
        <v>461</v>
      </c>
      <c r="AO47" t="s">
        <v>462</v>
      </c>
      <c r="AP47" t="s">
        <v>463</v>
      </c>
      <c r="BM47" t="str">
        <f t="shared" si="56"/>
        <v>2 Tütün tabakasi güzel dokulu falan | Gelb S | Deutsch)</v>
      </c>
      <c r="BN47" s="11" t="s">
        <v>464</v>
      </c>
      <c r="BO47" t="str">
        <f t="shared" si="57"/>
        <v>2 Tütün tabakasi güzel dokulu falan | Gelb S | Deutsch)BULLET-1</v>
      </c>
      <c r="BP47" t="str">
        <f t="shared" si="58"/>
        <v>2 Tütün tabakasi güzel dokulu falan | Gelb S | Deutsch)BULLET-2</v>
      </c>
      <c r="BQ47" t="str">
        <f t="shared" si="59"/>
        <v>2 Tütün tabakasi güzel dokulu falan | Gelb S | Deutsch)BULLET-3</v>
      </c>
      <c r="BR47" t="str">
        <f t="shared" si="60"/>
        <v>2 Tütün tabakasi güzel dokulu falan | Gelb S | English)</v>
      </c>
      <c r="BS47" s="11" t="s">
        <v>465</v>
      </c>
      <c r="BT47" t="str">
        <f t="shared" si="61"/>
        <v>2 Tütün tabakasi güzel dokulu falan | Gelb S | English)BULLET-1</v>
      </c>
      <c r="BU47" t="str">
        <f t="shared" si="62"/>
        <v>2 Tütün tabakasi güzel dokulu falan | Gelb S | English)BULLET-2</v>
      </c>
      <c r="BV47" t="str">
        <f t="shared" si="63"/>
        <v>2 Tütün tabakasi güzel dokulu falan | Gelb S | English)BULLET-3</v>
      </c>
      <c r="BW47" t="str">
        <f t="shared" si="64"/>
        <v>2 Tütün tabakasi güzel dokulu falan | Gelb S | Türkçe)</v>
      </c>
      <c r="BX47" s="11" t="s">
        <v>466</v>
      </c>
      <c r="BY47" t="str">
        <f t="shared" si="65"/>
        <v>2 Tütün tabakasi güzel dokulu falan | Gelb S | Türkçe)BULLET-1</v>
      </c>
      <c r="BZ47" t="str">
        <f t="shared" si="66"/>
        <v>2 Tütün tabakasi güzel dokulu falan | Gelb S | Türkçe)BULLET-2</v>
      </c>
      <c r="CA47" t="str">
        <f t="shared" si="67"/>
        <v>2 Tütün tabakasi güzel dokulu falan | Gelb S | Türkçe)BULLET-3</v>
      </c>
      <c r="CB47" t="str">
        <f t="shared" si="68"/>
        <v>2 Tütün tabakasi güzel dokulu falan | Gelb S | Français)</v>
      </c>
      <c r="CC47" s="11" t="s">
        <v>467</v>
      </c>
      <c r="CD47" t="str">
        <f t="shared" si="69"/>
        <v>2 Tütün tabakasi güzel dokulu falan | Gelb S | Français)BULLET-1</v>
      </c>
      <c r="CE47" t="str">
        <f t="shared" si="70"/>
        <v>2 Tütün tabakasi güzel dokulu falan | Gelb S | Français)BULLET-2</v>
      </c>
      <c r="CF47" t="str">
        <f t="shared" si="71"/>
        <v>2 Tütün tabakasi güzel dokulu falan | Gelb S | Français)BULLET-3</v>
      </c>
      <c r="CG47" t="str">
        <f t="shared" si="72"/>
        <v>2 Tütün tabakasi güzel dokulu falan | Gelb S | Italiano)</v>
      </c>
      <c r="CH47" s="11" t="s">
        <v>468</v>
      </c>
      <c r="CI47" t="str">
        <f t="shared" si="73"/>
        <v>2 Tütün tabakasi güzel dokulu falan | Gelb S | Italiano)BULLET-1</v>
      </c>
      <c r="CJ47" t="str">
        <f t="shared" si="74"/>
        <v>2 Tütün tabakasi güzel dokulu falan | Gelb S | Italiano)BULLET-2</v>
      </c>
      <c r="CK47" t="str">
        <f t="shared" si="75"/>
        <v>2 Tütün tabakasi güzel dokulu falan | Gelb S | Italiano)BULLET-3</v>
      </c>
      <c r="CL47" t="str">
        <f t="shared" si="76"/>
        <v>2 Tütün tabakasi güzel dokulu falan | Gelb S | Español)</v>
      </c>
      <c r="CM47" s="11" t="s">
        <v>469</v>
      </c>
      <c r="CN47" t="str">
        <f t="shared" si="77"/>
        <v>2 Tütün tabakasi güzel dokulu falan | Gelb S | Español)BULLET-1</v>
      </c>
      <c r="CO47" t="str">
        <f t="shared" si="78"/>
        <v>2 Tütün tabakasi güzel dokulu falan | Gelb S | Español)BULLET-2</v>
      </c>
      <c r="CP47" t="str">
        <f t="shared" si="79"/>
        <v>2 Tütün tabakasi güzel dokulu falan | Gelb S | Español)BULLET-3</v>
      </c>
      <c r="CQ47">
        <v>10</v>
      </c>
      <c r="CT47">
        <v>12</v>
      </c>
      <c r="CW47">
        <v>12</v>
      </c>
      <c r="CZ47">
        <v>14</v>
      </c>
      <c r="DC47">
        <v>16</v>
      </c>
      <c r="DF47">
        <v>18</v>
      </c>
      <c r="DI47">
        <f t="shared" si="80"/>
        <v>609</v>
      </c>
      <c r="DO47" t="str">
        <f t="shared" si="81"/>
        <v>2SEO1 Tütün tabakasi güzel dokulu falan | Gelb S</v>
      </c>
      <c r="DP47" t="str">
        <f t="shared" si="25"/>
        <v>2SEO1 Tütün tabakasi güzel dokulu falan | Gelb S DESCRIPTION</v>
      </c>
      <c r="DQ47" t="str">
        <f t="shared" si="26"/>
        <v>2SEO1 Tütün tabakasi güzel dokulu falan | Gelb S KEYWORD</v>
      </c>
    </row>
    <row r="48" spans="1:121" ht="15" customHeight="1" x14ac:dyDescent="0.25">
      <c r="A48" t="s">
        <v>236</v>
      </c>
      <c r="B48" t="s">
        <v>327</v>
      </c>
      <c r="C48" t="s">
        <v>284</v>
      </c>
      <c r="D48" t="s">
        <v>228</v>
      </c>
      <c r="E48" s="9" t="s">
        <v>396</v>
      </c>
      <c r="F48">
        <v>50</v>
      </c>
      <c r="K48">
        <f t="shared" si="82"/>
        <v>92</v>
      </c>
      <c r="L48">
        <v>12</v>
      </c>
      <c r="M48">
        <v>3</v>
      </c>
      <c r="N48">
        <v>8</v>
      </c>
      <c r="O48" s="10" t="s">
        <v>446</v>
      </c>
      <c r="P48" s="10" t="s">
        <v>432</v>
      </c>
      <c r="T48" s="10" t="s">
        <v>446</v>
      </c>
      <c r="V48" t="s">
        <v>280</v>
      </c>
      <c r="X48" t="s">
        <v>239</v>
      </c>
      <c r="AG48" t="s">
        <v>266</v>
      </c>
      <c r="AH48">
        <v>200</v>
      </c>
      <c r="AI48" t="s">
        <v>456</v>
      </c>
      <c r="AJ48" t="s">
        <v>457</v>
      </c>
      <c r="AK48" t="s">
        <v>458</v>
      </c>
      <c r="AL48" t="s">
        <v>459</v>
      </c>
      <c r="AM48" t="s">
        <v>460</v>
      </c>
      <c r="AN48" t="s">
        <v>461</v>
      </c>
      <c r="AO48" t="s">
        <v>462</v>
      </c>
      <c r="AP48" t="s">
        <v>463</v>
      </c>
      <c r="BM48" t="str">
        <f t="shared" si="56"/>
        <v>2 Tütün tabakasi güzel dokulu falan | Lila S | Deutsch)</v>
      </c>
      <c r="BN48" s="11" t="s">
        <v>464</v>
      </c>
      <c r="BO48" t="str">
        <f t="shared" si="57"/>
        <v>2 Tütün tabakasi güzel dokulu falan | Lila S | Deutsch)BULLET-1</v>
      </c>
      <c r="BP48" t="str">
        <f t="shared" si="58"/>
        <v>2 Tütün tabakasi güzel dokulu falan | Lila S | Deutsch)BULLET-2</v>
      </c>
      <c r="BQ48" t="str">
        <f t="shared" si="59"/>
        <v>2 Tütün tabakasi güzel dokulu falan | Lila S | Deutsch)BULLET-3</v>
      </c>
      <c r="BR48" t="str">
        <f t="shared" si="60"/>
        <v>2 Tütün tabakasi güzel dokulu falan | Lila S | English)</v>
      </c>
      <c r="BS48" s="11" t="s">
        <v>465</v>
      </c>
      <c r="BT48" t="str">
        <f t="shared" si="61"/>
        <v>2 Tütün tabakasi güzel dokulu falan | Lila S | English)BULLET-1</v>
      </c>
      <c r="BU48" t="str">
        <f t="shared" si="62"/>
        <v>2 Tütün tabakasi güzel dokulu falan | Lila S | English)BULLET-2</v>
      </c>
      <c r="BV48" t="str">
        <f t="shared" si="63"/>
        <v>2 Tütün tabakasi güzel dokulu falan | Lila S | English)BULLET-3</v>
      </c>
      <c r="BW48" t="str">
        <f t="shared" si="64"/>
        <v>2 Tütün tabakasi güzel dokulu falan | Lila S | Türkçe)</v>
      </c>
      <c r="BX48" s="11" t="s">
        <v>466</v>
      </c>
      <c r="BY48" t="str">
        <f t="shared" si="65"/>
        <v>2 Tütün tabakasi güzel dokulu falan | Lila S | Türkçe)BULLET-1</v>
      </c>
      <c r="BZ48" t="str">
        <f t="shared" si="66"/>
        <v>2 Tütün tabakasi güzel dokulu falan | Lila S | Türkçe)BULLET-2</v>
      </c>
      <c r="CA48" t="str">
        <f t="shared" si="67"/>
        <v>2 Tütün tabakasi güzel dokulu falan | Lila S | Türkçe)BULLET-3</v>
      </c>
      <c r="CB48" t="str">
        <f t="shared" si="68"/>
        <v>2 Tütün tabakasi güzel dokulu falan | Lila S | Français)</v>
      </c>
      <c r="CC48" s="11" t="s">
        <v>467</v>
      </c>
      <c r="CD48" t="str">
        <f t="shared" si="69"/>
        <v>2 Tütün tabakasi güzel dokulu falan | Lila S | Français)BULLET-1</v>
      </c>
      <c r="CE48" t="str">
        <f t="shared" si="70"/>
        <v>2 Tütün tabakasi güzel dokulu falan | Lila S | Français)BULLET-2</v>
      </c>
      <c r="CF48" t="str">
        <f t="shared" si="71"/>
        <v>2 Tütün tabakasi güzel dokulu falan | Lila S | Français)BULLET-3</v>
      </c>
      <c r="CG48" t="str">
        <f t="shared" si="72"/>
        <v>2 Tütün tabakasi güzel dokulu falan | Lila S | Italiano)</v>
      </c>
      <c r="CH48" s="11" t="s">
        <v>468</v>
      </c>
      <c r="CI48" t="str">
        <f t="shared" si="73"/>
        <v>2 Tütün tabakasi güzel dokulu falan | Lila S | Italiano)BULLET-1</v>
      </c>
      <c r="CJ48" t="str">
        <f t="shared" si="74"/>
        <v>2 Tütün tabakasi güzel dokulu falan | Lila S | Italiano)BULLET-2</v>
      </c>
      <c r="CK48" t="str">
        <f t="shared" si="75"/>
        <v>2 Tütün tabakasi güzel dokulu falan | Lila S | Italiano)BULLET-3</v>
      </c>
      <c r="CL48" t="str">
        <f t="shared" si="76"/>
        <v>2 Tütün tabakasi güzel dokulu falan | Lila S | Español)</v>
      </c>
      <c r="CM48" s="11" t="s">
        <v>469</v>
      </c>
      <c r="CN48" t="str">
        <f t="shared" si="77"/>
        <v>2 Tütün tabakasi güzel dokulu falan | Lila S | Español)BULLET-1</v>
      </c>
      <c r="CO48" t="str">
        <f t="shared" si="78"/>
        <v>2 Tütün tabakasi güzel dokulu falan | Lila S | Español)BULLET-2</v>
      </c>
      <c r="CP48" t="str">
        <f t="shared" si="79"/>
        <v>2 Tütün tabakasi güzel dokulu falan | Lila S | Español)BULLET-3</v>
      </c>
      <c r="CQ48">
        <v>10</v>
      </c>
      <c r="CT48">
        <v>12</v>
      </c>
      <c r="CW48">
        <v>12</v>
      </c>
      <c r="CZ48">
        <v>14</v>
      </c>
      <c r="DC48">
        <v>16</v>
      </c>
      <c r="DF48">
        <v>18</v>
      </c>
      <c r="DI48">
        <f t="shared" si="80"/>
        <v>608</v>
      </c>
      <c r="DO48" t="str">
        <f t="shared" si="81"/>
        <v>2SEO1 Tütün tabakasi güzel dokulu falan | Lila S</v>
      </c>
      <c r="DP48" t="str">
        <f t="shared" si="25"/>
        <v>2SEO1 Tütün tabakasi güzel dokulu falan | Lila S DESCRIPTION</v>
      </c>
      <c r="DQ48" t="str">
        <f t="shared" si="26"/>
        <v>2SEO1 Tütün tabakasi güzel dokulu falan | Lila S KEYWORD</v>
      </c>
    </row>
    <row r="49" spans="1:121" ht="15" customHeight="1" x14ac:dyDescent="0.25">
      <c r="A49" t="s">
        <v>236</v>
      </c>
      <c r="B49" t="s">
        <v>328</v>
      </c>
      <c r="C49" t="s">
        <v>284</v>
      </c>
      <c r="D49" t="s">
        <v>228</v>
      </c>
      <c r="E49" s="9" t="s">
        <v>397</v>
      </c>
      <c r="F49">
        <v>50</v>
      </c>
      <c r="K49">
        <f t="shared" si="82"/>
        <v>93</v>
      </c>
      <c r="L49">
        <v>12</v>
      </c>
      <c r="M49">
        <v>3</v>
      </c>
      <c r="N49">
        <v>8</v>
      </c>
      <c r="O49" s="10" t="s">
        <v>447</v>
      </c>
      <c r="P49" s="10" t="s">
        <v>432</v>
      </c>
      <c r="T49" s="10" t="s">
        <v>447</v>
      </c>
      <c r="V49" t="s">
        <v>281</v>
      </c>
      <c r="X49" t="s">
        <v>239</v>
      </c>
      <c r="AG49" t="s">
        <v>266</v>
      </c>
      <c r="AH49">
        <v>200</v>
      </c>
      <c r="AI49" t="s">
        <v>456</v>
      </c>
      <c r="AJ49" t="s">
        <v>457</v>
      </c>
      <c r="AK49" t="s">
        <v>458</v>
      </c>
      <c r="AL49" t="s">
        <v>459</v>
      </c>
      <c r="AM49" t="s">
        <v>460</v>
      </c>
      <c r="AN49" t="s">
        <v>461</v>
      </c>
      <c r="AO49" t="s">
        <v>462</v>
      </c>
      <c r="AP49" t="s">
        <v>463</v>
      </c>
      <c r="BM49" t="str">
        <f t="shared" si="56"/>
        <v>2 Tütün tabakasi güzel dokulu falan | Braun S | Deutsch)</v>
      </c>
      <c r="BN49" s="11" t="s">
        <v>464</v>
      </c>
      <c r="BO49" t="str">
        <f t="shared" si="57"/>
        <v>2 Tütün tabakasi güzel dokulu falan | Braun S | Deutsch)BULLET-1</v>
      </c>
      <c r="BP49" t="str">
        <f t="shared" si="58"/>
        <v>2 Tütün tabakasi güzel dokulu falan | Braun S | Deutsch)BULLET-2</v>
      </c>
      <c r="BQ49" t="str">
        <f t="shared" si="59"/>
        <v>2 Tütün tabakasi güzel dokulu falan | Braun S | Deutsch)BULLET-3</v>
      </c>
      <c r="BR49" t="str">
        <f t="shared" si="60"/>
        <v>2 Tütün tabakasi güzel dokulu falan | Braun S | English)</v>
      </c>
      <c r="BS49" s="11" t="s">
        <v>465</v>
      </c>
      <c r="BT49" t="str">
        <f t="shared" si="61"/>
        <v>2 Tütün tabakasi güzel dokulu falan | Braun S | English)BULLET-1</v>
      </c>
      <c r="BU49" t="str">
        <f t="shared" si="62"/>
        <v>2 Tütün tabakasi güzel dokulu falan | Braun S | English)BULLET-2</v>
      </c>
      <c r="BV49" t="str">
        <f t="shared" si="63"/>
        <v>2 Tütün tabakasi güzel dokulu falan | Braun S | English)BULLET-3</v>
      </c>
      <c r="BW49" t="str">
        <f t="shared" si="64"/>
        <v>2 Tütün tabakasi güzel dokulu falan | Braun S | Türkçe)</v>
      </c>
      <c r="BX49" s="11" t="s">
        <v>466</v>
      </c>
      <c r="BY49" t="str">
        <f t="shared" si="65"/>
        <v>2 Tütün tabakasi güzel dokulu falan | Braun S | Türkçe)BULLET-1</v>
      </c>
      <c r="BZ49" t="str">
        <f t="shared" si="66"/>
        <v>2 Tütün tabakasi güzel dokulu falan | Braun S | Türkçe)BULLET-2</v>
      </c>
      <c r="CA49" t="str">
        <f t="shared" si="67"/>
        <v>2 Tütün tabakasi güzel dokulu falan | Braun S | Türkçe)BULLET-3</v>
      </c>
      <c r="CB49" t="str">
        <f t="shared" si="68"/>
        <v>2 Tütün tabakasi güzel dokulu falan | Braun S | Français)</v>
      </c>
      <c r="CC49" s="11" t="s">
        <v>467</v>
      </c>
      <c r="CD49" t="str">
        <f t="shared" si="69"/>
        <v>2 Tütün tabakasi güzel dokulu falan | Braun S | Français)BULLET-1</v>
      </c>
      <c r="CE49" t="str">
        <f t="shared" si="70"/>
        <v>2 Tütün tabakasi güzel dokulu falan | Braun S | Français)BULLET-2</v>
      </c>
      <c r="CF49" t="str">
        <f t="shared" si="71"/>
        <v>2 Tütün tabakasi güzel dokulu falan | Braun S | Français)BULLET-3</v>
      </c>
      <c r="CG49" t="str">
        <f t="shared" si="72"/>
        <v>2 Tütün tabakasi güzel dokulu falan | Braun S | Italiano)</v>
      </c>
      <c r="CH49" s="11" t="s">
        <v>468</v>
      </c>
      <c r="CI49" t="str">
        <f t="shared" si="73"/>
        <v>2 Tütün tabakasi güzel dokulu falan | Braun S | Italiano)BULLET-1</v>
      </c>
      <c r="CJ49" t="str">
        <f t="shared" si="74"/>
        <v>2 Tütün tabakasi güzel dokulu falan | Braun S | Italiano)BULLET-2</v>
      </c>
      <c r="CK49" t="str">
        <f t="shared" si="75"/>
        <v>2 Tütün tabakasi güzel dokulu falan | Braun S | Italiano)BULLET-3</v>
      </c>
      <c r="CL49" t="str">
        <f t="shared" si="76"/>
        <v>2 Tütün tabakasi güzel dokulu falan | Braun S | Español)</v>
      </c>
      <c r="CM49" s="11" t="s">
        <v>469</v>
      </c>
      <c r="CN49" t="str">
        <f t="shared" si="77"/>
        <v>2 Tütün tabakasi güzel dokulu falan | Braun S | Español)BULLET-1</v>
      </c>
      <c r="CO49" t="str">
        <f t="shared" si="78"/>
        <v>2 Tütün tabakasi güzel dokulu falan | Braun S | Español)BULLET-2</v>
      </c>
      <c r="CP49" t="str">
        <f t="shared" si="79"/>
        <v>2 Tütün tabakasi güzel dokulu falan | Braun S | Español)BULLET-3</v>
      </c>
      <c r="CQ49">
        <v>10</v>
      </c>
      <c r="CT49">
        <v>12</v>
      </c>
      <c r="CW49">
        <v>12</v>
      </c>
      <c r="CZ49">
        <v>14</v>
      </c>
      <c r="DC49">
        <v>16</v>
      </c>
      <c r="DF49">
        <v>18</v>
      </c>
      <c r="DI49">
        <f t="shared" si="80"/>
        <v>607</v>
      </c>
      <c r="DO49" t="str">
        <f t="shared" si="81"/>
        <v>2SEO1 Tütün tabakasi güzel dokulu falan | Braun S</v>
      </c>
      <c r="DP49" t="str">
        <f t="shared" si="25"/>
        <v>2SEO1 Tütün tabakasi güzel dokulu falan | Braun S DESCRIPTION</v>
      </c>
      <c r="DQ49" t="str">
        <f t="shared" si="26"/>
        <v>2SEO1 Tütün tabakasi güzel dokulu falan | Braun S KEYWORD</v>
      </c>
    </row>
    <row r="50" spans="1:121" ht="15" customHeight="1" x14ac:dyDescent="0.25">
      <c r="A50" t="s">
        <v>236</v>
      </c>
      <c r="B50" t="s">
        <v>329</v>
      </c>
      <c r="C50" t="s">
        <v>284</v>
      </c>
      <c r="D50" t="s">
        <v>228</v>
      </c>
      <c r="E50" s="9" t="s">
        <v>398</v>
      </c>
      <c r="F50">
        <v>50</v>
      </c>
      <c r="K50">
        <f t="shared" si="82"/>
        <v>94</v>
      </c>
      <c r="L50">
        <v>12</v>
      </c>
      <c r="M50">
        <v>3</v>
      </c>
      <c r="N50">
        <v>8</v>
      </c>
      <c r="O50" s="10" t="s">
        <v>440</v>
      </c>
      <c r="P50" s="10" t="s">
        <v>432</v>
      </c>
      <c r="T50" s="10" t="s">
        <v>440</v>
      </c>
      <c r="V50" t="s">
        <v>282</v>
      </c>
      <c r="X50" t="s">
        <v>239</v>
      </c>
      <c r="AG50" t="s">
        <v>266</v>
      </c>
      <c r="AH50">
        <v>200</v>
      </c>
      <c r="AI50" t="s">
        <v>456</v>
      </c>
      <c r="AJ50" t="s">
        <v>457</v>
      </c>
      <c r="AK50" t="s">
        <v>458</v>
      </c>
      <c r="AL50" t="s">
        <v>459</v>
      </c>
      <c r="AM50" t="s">
        <v>460</v>
      </c>
      <c r="AN50" t="s">
        <v>461</v>
      </c>
      <c r="AO50" t="s">
        <v>462</v>
      </c>
      <c r="AP50" t="s">
        <v>463</v>
      </c>
      <c r="BM50" t="str">
        <f t="shared" si="56"/>
        <v>2 Tütün tabakasi güzel dokulu falan | Rosa S | Deutsch)</v>
      </c>
      <c r="BN50" s="11" t="s">
        <v>464</v>
      </c>
      <c r="BO50" t="str">
        <f t="shared" si="57"/>
        <v>2 Tütün tabakasi güzel dokulu falan | Rosa S | Deutsch)BULLET-1</v>
      </c>
      <c r="BP50" t="str">
        <f t="shared" si="58"/>
        <v>2 Tütün tabakasi güzel dokulu falan | Rosa S | Deutsch)BULLET-2</v>
      </c>
      <c r="BQ50" t="str">
        <f t="shared" si="59"/>
        <v>2 Tütün tabakasi güzel dokulu falan | Rosa S | Deutsch)BULLET-3</v>
      </c>
      <c r="BR50" t="str">
        <f t="shared" si="60"/>
        <v>2 Tütün tabakasi güzel dokulu falan | Rosa S | English)</v>
      </c>
      <c r="BS50" s="11" t="s">
        <v>465</v>
      </c>
      <c r="BT50" t="str">
        <f t="shared" si="61"/>
        <v>2 Tütün tabakasi güzel dokulu falan | Rosa S | English)BULLET-1</v>
      </c>
      <c r="BU50" t="str">
        <f t="shared" si="62"/>
        <v>2 Tütün tabakasi güzel dokulu falan | Rosa S | English)BULLET-2</v>
      </c>
      <c r="BV50" t="str">
        <f t="shared" si="63"/>
        <v>2 Tütün tabakasi güzel dokulu falan | Rosa S | English)BULLET-3</v>
      </c>
      <c r="BW50" t="str">
        <f t="shared" si="64"/>
        <v>2 Tütün tabakasi güzel dokulu falan | Rosa S | Türkçe)</v>
      </c>
      <c r="BX50" s="11" t="s">
        <v>466</v>
      </c>
      <c r="BY50" t="str">
        <f t="shared" si="65"/>
        <v>2 Tütün tabakasi güzel dokulu falan | Rosa S | Türkçe)BULLET-1</v>
      </c>
      <c r="BZ50" t="str">
        <f t="shared" si="66"/>
        <v>2 Tütün tabakasi güzel dokulu falan | Rosa S | Türkçe)BULLET-2</v>
      </c>
      <c r="CA50" t="str">
        <f t="shared" si="67"/>
        <v>2 Tütün tabakasi güzel dokulu falan | Rosa S | Türkçe)BULLET-3</v>
      </c>
      <c r="CB50" t="str">
        <f t="shared" si="68"/>
        <v>2 Tütün tabakasi güzel dokulu falan | Rosa S | Français)</v>
      </c>
      <c r="CC50" s="11" t="s">
        <v>467</v>
      </c>
      <c r="CD50" t="str">
        <f t="shared" si="69"/>
        <v>2 Tütün tabakasi güzel dokulu falan | Rosa S | Français)BULLET-1</v>
      </c>
      <c r="CE50" t="str">
        <f t="shared" si="70"/>
        <v>2 Tütün tabakasi güzel dokulu falan | Rosa S | Français)BULLET-2</v>
      </c>
      <c r="CF50" t="str">
        <f t="shared" si="71"/>
        <v>2 Tütün tabakasi güzel dokulu falan | Rosa S | Français)BULLET-3</v>
      </c>
      <c r="CG50" t="str">
        <f t="shared" si="72"/>
        <v>2 Tütün tabakasi güzel dokulu falan | Rosa S | Italiano)</v>
      </c>
      <c r="CH50" s="11" t="s">
        <v>468</v>
      </c>
      <c r="CI50" t="str">
        <f t="shared" si="73"/>
        <v>2 Tütün tabakasi güzel dokulu falan | Rosa S | Italiano)BULLET-1</v>
      </c>
      <c r="CJ50" t="str">
        <f t="shared" si="74"/>
        <v>2 Tütün tabakasi güzel dokulu falan | Rosa S | Italiano)BULLET-2</v>
      </c>
      <c r="CK50" t="str">
        <f t="shared" si="75"/>
        <v>2 Tütün tabakasi güzel dokulu falan | Rosa S | Italiano)BULLET-3</v>
      </c>
      <c r="CL50" t="str">
        <f t="shared" si="76"/>
        <v>2 Tütün tabakasi güzel dokulu falan | Rosa S | Español)</v>
      </c>
      <c r="CM50" s="11" t="s">
        <v>469</v>
      </c>
      <c r="CN50" t="str">
        <f t="shared" si="77"/>
        <v>2 Tütün tabakasi güzel dokulu falan | Rosa S | Español)BULLET-1</v>
      </c>
      <c r="CO50" t="str">
        <f t="shared" si="78"/>
        <v>2 Tütün tabakasi güzel dokulu falan | Rosa S | Español)BULLET-2</v>
      </c>
      <c r="CP50" t="str">
        <f t="shared" si="79"/>
        <v>2 Tütün tabakasi güzel dokulu falan | Rosa S | Español)BULLET-3</v>
      </c>
      <c r="CQ50">
        <v>10</v>
      </c>
      <c r="CT50">
        <v>12</v>
      </c>
      <c r="CW50">
        <v>12</v>
      </c>
      <c r="CZ50">
        <v>14</v>
      </c>
      <c r="DC50">
        <v>16</v>
      </c>
      <c r="DF50">
        <v>18</v>
      </c>
      <c r="DI50">
        <f t="shared" si="80"/>
        <v>606</v>
      </c>
      <c r="DO50" t="str">
        <f t="shared" si="81"/>
        <v>2SEO1 Tütün tabakasi güzel dokulu falan | Rosa S</v>
      </c>
      <c r="DP50" t="str">
        <f t="shared" si="25"/>
        <v>2SEO1 Tütün tabakasi güzel dokulu falan | Rosa S DESCRIPTION</v>
      </c>
      <c r="DQ50" t="str">
        <f t="shared" si="26"/>
        <v>2SEO1 Tütün tabakasi güzel dokulu falan | Rosa S KEYWORD</v>
      </c>
    </row>
    <row r="51" spans="1:121" ht="15" customHeight="1" x14ac:dyDescent="0.25">
      <c r="A51" t="s">
        <v>236</v>
      </c>
      <c r="B51" t="s">
        <v>330</v>
      </c>
      <c r="C51" t="s">
        <v>284</v>
      </c>
      <c r="D51" t="s">
        <v>228</v>
      </c>
      <c r="E51" s="9" t="s">
        <v>399</v>
      </c>
      <c r="F51">
        <v>50</v>
      </c>
      <c r="K51">
        <f t="shared" si="82"/>
        <v>95</v>
      </c>
      <c r="L51">
        <v>12</v>
      </c>
      <c r="M51">
        <v>3</v>
      </c>
      <c r="N51">
        <v>8</v>
      </c>
      <c r="O51" s="10" t="s">
        <v>431</v>
      </c>
      <c r="P51" s="10" t="s">
        <v>432</v>
      </c>
      <c r="T51" s="10" t="s">
        <v>431</v>
      </c>
      <c r="V51" t="s">
        <v>238</v>
      </c>
      <c r="X51" t="s">
        <v>241</v>
      </c>
      <c r="AG51" t="s">
        <v>266</v>
      </c>
      <c r="AH51">
        <v>200</v>
      </c>
      <c r="AI51" t="s">
        <v>456</v>
      </c>
      <c r="AJ51" t="s">
        <v>457</v>
      </c>
      <c r="AK51" t="s">
        <v>458</v>
      </c>
      <c r="AL51" t="s">
        <v>459</v>
      </c>
      <c r="AM51" t="s">
        <v>460</v>
      </c>
      <c r="AN51" t="s">
        <v>461</v>
      </c>
      <c r="AO51" t="s">
        <v>462</v>
      </c>
      <c r="AP51" t="s">
        <v>463</v>
      </c>
      <c r="BM51" t="str">
        <f t="shared" si="56"/>
        <v>2 Tütün tabakasi güzel dokulu falan | Rot M | Deutsch)</v>
      </c>
      <c r="BN51" s="11" t="s">
        <v>464</v>
      </c>
      <c r="BO51" t="str">
        <f t="shared" si="57"/>
        <v>2 Tütün tabakasi güzel dokulu falan | Rot M | Deutsch)BULLET-1</v>
      </c>
      <c r="BP51" t="str">
        <f t="shared" si="58"/>
        <v>2 Tütün tabakasi güzel dokulu falan | Rot M | Deutsch)BULLET-2</v>
      </c>
      <c r="BQ51" t="str">
        <f t="shared" si="59"/>
        <v>2 Tütün tabakasi güzel dokulu falan | Rot M | Deutsch)BULLET-3</v>
      </c>
      <c r="BR51" t="str">
        <f t="shared" si="60"/>
        <v>2 Tütün tabakasi güzel dokulu falan | Rot M | English)</v>
      </c>
      <c r="BS51" s="11" t="s">
        <v>465</v>
      </c>
      <c r="BT51" t="str">
        <f t="shared" si="61"/>
        <v>2 Tütün tabakasi güzel dokulu falan | Rot M | English)BULLET-1</v>
      </c>
      <c r="BU51" t="str">
        <f t="shared" si="62"/>
        <v>2 Tütün tabakasi güzel dokulu falan | Rot M | English)BULLET-2</v>
      </c>
      <c r="BV51" t="str">
        <f t="shared" si="63"/>
        <v>2 Tütün tabakasi güzel dokulu falan | Rot M | English)BULLET-3</v>
      </c>
      <c r="BW51" t="str">
        <f t="shared" si="64"/>
        <v>2 Tütün tabakasi güzel dokulu falan | Rot M | Türkçe)</v>
      </c>
      <c r="BX51" s="11" t="s">
        <v>466</v>
      </c>
      <c r="BY51" t="str">
        <f t="shared" si="65"/>
        <v>2 Tütün tabakasi güzel dokulu falan | Rot M | Türkçe)BULLET-1</v>
      </c>
      <c r="BZ51" t="str">
        <f t="shared" si="66"/>
        <v>2 Tütün tabakasi güzel dokulu falan | Rot M | Türkçe)BULLET-2</v>
      </c>
      <c r="CA51" t="str">
        <f t="shared" si="67"/>
        <v>2 Tütün tabakasi güzel dokulu falan | Rot M | Türkçe)BULLET-3</v>
      </c>
      <c r="CB51" t="str">
        <f t="shared" si="68"/>
        <v>2 Tütün tabakasi güzel dokulu falan | Rot M | Français)</v>
      </c>
      <c r="CC51" s="11" t="s">
        <v>467</v>
      </c>
      <c r="CD51" t="str">
        <f t="shared" si="69"/>
        <v>2 Tütün tabakasi güzel dokulu falan | Rot M | Français)BULLET-1</v>
      </c>
      <c r="CE51" t="str">
        <f t="shared" si="70"/>
        <v>2 Tütün tabakasi güzel dokulu falan | Rot M | Français)BULLET-2</v>
      </c>
      <c r="CF51" t="str">
        <f t="shared" si="71"/>
        <v>2 Tütün tabakasi güzel dokulu falan | Rot M | Français)BULLET-3</v>
      </c>
      <c r="CG51" t="str">
        <f t="shared" si="72"/>
        <v>2 Tütün tabakasi güzel dokulu falan | Rot M | Italiano)</v>
      </c>
      <c r="CH51" s="11" t="s">
        <v>468</v>
      </c>
      <c r="CI51" t="str">
        <f t="shared" si="73"/>
        <v>2 Tütün tabakasi güzel dokulu falan | Rot M | Italiano)BULLET-1</v>
      </c>
      <c r="CJ51" t="str">
        <f t="shared" si="74"/>
        <v>2 Tütün tabakasi güzel dokulu falan | Rot M | Italiano)BULLET-2</v>
      </c>
      <c r="CK51" t="str">
        <f t="shared" si="75"/>
        <v>2 Tütün tabakasi güzel dokulu falan | Rot M | Italiano)BULLET-3</v>
      </c>
      <c r="CL51" t="str">
        <f t="shared" si="76"/>
        <v>2 Tütün tabakasi güzel dokulu falan | Rot M | Español)</v>
      </c>
      <c r="CM51" s="11" t="s">
        <v>469</v>
      </c>
      <c r="CN51" t="str">
        <f t="shared" si="77"/>
        <v>2 Tütün tabakasi güzel dokulu falan | Rot M | Español)BULLET-1</v>
      </c>
      <c r="CO51" t="str">
        <f t="shared" si="78"/>
        <v>2 Tütün tabakasi güzel dokulu falan | Rot M | Español)BULLET-2</v>
      </c>
      <c r="CP51" t="str">
        <f t="shared" si="79"/>
        <v>2 Tütün tabakasi güzel dokulu falan | Rot M | Español)BULLET-3</v>
      </c>
      <c r="CQ51">
        <v>10</v>
      </c>
      <c r="CT51">
        <v>12</v>
      </c>
      <c r="CW51">
        <v>12</v>
      </c>
      <c r="CZ51">
        <v>14</v>
      </c>
      <c r="DC51">
        <v>16</v>
      </c>
      <c r="DF51">
        <v>18</v>
      </c>
      <c r="DI51">
        <f t="shared" si="80"/>
        <v>605</v>
      </c>
      <c r="DO51" t="str">
        <f t="shared" si="81"/>
        <v>2SEO1 Tütün tabakasi güzel dokulu falan | Rot M</v>
      </c>
      <c r="DP51" t="str">
        <f t="shared" si="25"/>
        <v>2SEO1 Tütün tabakasi güzel dokulu falan | Rot M DESCRIPTION</v>
      </c>
      <c r="DQ51" t="str">
        <f t="shared" si="26"/>
        <v>2SEO1 Tütün tabakasi güzel dokulu falan | Rot M KEYWORD</v>
      </c>
    </row>
    <row r="52" spans="1:121" ht="15" customHeight="1" x14ac:dyDescent="0.25">
      <c r="A52" t="s">
        <v>236</v>
      </c>
      <c r="B52" t="s">
        <v>331</v>
      </c>
      <c r="C52" t="s">
        <v>284</v>
      </c>
      <c r="D52" t="s">
        <v>228</v>
      </c>
      <c r="E52" s="9" t="s">
        <v>400</v>
      </c>
      <c r="F52">
        <v>50</v>
      </c>
      <c r="K52">
        <f t="shared" si="82"/>
        <v>96</v>
      </c>
      <c r="L52">
        <v>12</v>
      </c>
      <c r="M52">
        <v>3</v>
      </c>
      <c r="N52">
        <v>8</v>
      </c>
      <c r="O52" s="10" t="s">
        <v>441</v>
      </c>
      <c r="P52" s="10" t="s">
        <v>432</v>
      </c>
      <c r="T52" s="10" t="s">
        <v>441</v>
      </c>
      <c r="V52" t="s">
        <v>275</v>
      </c>
      <c r="X52" t="s">
        <v>241</v>
      </c>
      <c r="AG52" t="s">
        <v>266</v>
      </c>
      <c r="AH52">
        <v>200</v>
      </c>
      <c r="AI52" t="s">
        <v>456</v>
      </c>
      <c r="AJ52" t="s">
        <v>457</v>
      </c>
      <c r="AK52" t="s">
        <v>458</v>
      </c>
      <c r="AL52" t="s">
        <v>459</v>
      </c>
      <c r="AM52" t="s">
        <v>460</v>
      </c>
      <c r="AN52" t="s">
        <v>461</v>
      </c>
      <c r="AO52" t="s">
        <v>462</v>
      </c>
      <c r="AP52" t="s">
        <v>463</v>
      </c>
      <c r="BM52" t="str">
        <f t="shared" si="56"/>
        <v>2 Tütün tabakasi güzel dokulu falan | Schwarz M | Deutsch)</v>
      </c>
      <c r="BN52" s="11" t="s">
        <v>464</v>
      </c>
      <c r="BO52" t="str">
        <f t="shared" si="57"/>
        <v>2 Tütün tabakasi güzel dokulu falan | Schwarz M | Deutsch)BULLET-1</v>
      </c>
      <c r="BP52" t="str">
        <f t="shared" si="58"/>
        <v>2 Tütün tabakasi güzel dokulu falan | Schwarz M | Deutsch)BULLET-2</v>
      </c>
      <c r="BQ52" t="str">
        <f t="shared" si="59"/>
        <v>2 Tütün tabakasi güzel dokulu falan | Schwarz M | Deutsch)BULLET-3</v>
      </c>
      <c r="BR52" t="str">
        <f t="shared" si="60"/>
        <v>2 Tütün tabakasi güzel dokulu falan | Schwarz M | English)</v>
      </c>
      <c r="BS52" s="11" t="s">
        <v>465</v>
      </c>
      <c r="BT52" t="str">
        <f t="shared" si="61"/>
        <v>2 Tütün tabakasi güzel dokulu falan | Schwarz M | English)BULLET-1</v>
      </c>
      <c r="BU52" t="str">
        <f t="shared" si="62"/>
        <v>2 Tütün tabakasi güzel dokulu falan | Schwarz M | English)BULLET-2</v>
      </c>
      <c r="BV52" t="str">
        <f t="shared" si="63"/>
        <v>2 Tütün tabakasi güzel dokulu falan | Schwarz M | English)BULLET-3</v>
      </c>
      <c r="BW52" t="str">
        <f t="shared" si="64"/>
        <v>2 Tütün tabakasi güzel dokulu falan | Schwarz M | Türkçe)</v>
      </c>
      <c r="BX52" s="11" t="s">
        <v>466</v>
      </c>
      <c r="BY52" t="str">
        <f t="shared" si="65"/>
        <v>2 Tütün tabakasi güzel dokulu falan | Schwarz M | Türkçe)BULLET-1</v>
      </c>
      <c r="BZ52" t="str">
        <f t="shared" si="66"/>
        <v>2 Tütün tabakasi güzel dokulu falan | Schwarz M | Türkçe)BULLET-2</v>
      </c>
      <c r="CA52" t="str">
        <f t="shared" si="67"/>
        <v>2 Tütün tabakasi güzel dokulu falan | Schwarz M | Türkçe)BULLET-3</v>
      </c>
      <c r="CB52" t="str">
        <f t="shared" si="68"/>
        <v>2 Tütün tabakasi güzel dokulu falan | Schwarz M | Français)</v>
      </c>
      <c r="CC52" s="11" t="s">
        <v>467</v>
      </c>
      <c r="CD52" t="str">
        <f t="shared" si="69"/>
        <v>2 Tütün tabakasi güzel dokulu falan | Schwarz M | Français)BULLET-1</v>
      </c>
      <c r="CE52" t="str">
        <f t="shared" si="70"/>
        <v>2 Tütün tabakasi güzel dokulu falan | Schwarz M | Français)BULLET-2</v>
      </c>
      <c r="CF52" t="str">
        <f t="shared" si="71"/>
        <v>2 Tütün tabakasi güzel dokulu falan | Schwarz M | Français)BULLET-3</v>
      </c>
      <c r="CG52" t="str">
        <f t="shared" si="72"/>
        <v>2 Tütün tabakasi güzel dokulu falan | Schwarz M | Italiano)</v>
      </c>
      <c r="CH52" s="11" t="s">
        <v>468</v>
      </c>
      <c r="CI52" t="str">
        <f t="shared" si="73"/>
        <v>2 Tütün tabakasi güzel dokulu falan | Schwarz M | Italiano)BULLET-1</v>
      </c>
      <c r="CJ52" t="str">
        <f t="shared" si="74"/>
        <v>2 Tütün tabakasi güzel dokulu falan | Schwarz M | Italiano)BULLET-2</v>
      </c>
      <c r="CK52" t="str">
        <f t="shared" si="75"/>
        <v>2 Tütün tabakasi güzel dokulu falan | Schwarz M | Italiano)BULLET-3</v>
      </c>
      <c r="CL52" t="str">
        <f t="shared" si="76"/>
        <v>2 Tütün tabakasi güzel dokulu falan | Schwarz M | Español)</v>
      </c>
      <c r="CM52" s="11" t="s">
        <v>469</v>
      </c>
      <c r="CN52" t="str">
        <f t="shared" si="77"/>
        <v>2 Tütün tabakasi güzel dokulu falan | Schwarz M | Español)BULLET-1</v>
      </c>
      <c r="CO52" t="str">
        <f t="shared" si="78"/>
        <v>2 Tütün tabakasi güzel dokulu falan | Schwarz M | Español)BULLET-2</v>
      </c>
      <c r="CP52" t="str">
        <f t="shared" si="79"/>
        <v>2 Tütün tabakasi güzel dokulu falan | Schwarz M | Español)BULLET-3</v>
      </c>
      <c r="CQ52">
        <v>10</v>
      </c>
      <c r="CT52">
        <v>12</v>
      </c>
      <c r="CW52">
        <v>12</v>
      </c>
      <c r="CZ52">
        <v>14</v>
      </c>
      <c r="DC52">
        <v>16</v>
      </c>
      <c r="DF52">
        <v>18</v>
      </c>
      <c r="DI52">
        <f t="shared" si="80"/>
        <v>604</v>
      </c>
      <c r="DO52" t="str">
        <f t="shared" si="81"/>
        <v>2SEO1 Tütün tabakasi güzel dokulu falan | Schwarz M</v>
      </c>
      <c r="DP52" t="str">
        <f t="shared" si="25"/>
        <v>2SEO1 Tütün tabakasi güzel dokulu falan | Schwarz M DESCRIPTION</v>
      </c>
      <c r="DQ52" t="str">
        <f t="shared" si="26"/>
        <v>2SEO1 Tütün tabakasi güzel dokulu falan | Schwarz M KEYWORD</v>
      </c>
    </row>
    <row r="53" spans="1:121" ht="15" customHeight="1" x14ac:dyDescent="0.25">
      <c r="A53" t="s">
        <v>236</v>
      </c>
      <c r="B53" t="s">
        <v>332</v>
      </c>
      <c r="C53" t="s">
        <v>284</v>
      </c>
      <c r="D53" t="s">
        <v>228</v>
      </c>
      <c r="E53" s="9" t="s">
        <v>401</v>
      </c>
      <c r="F53">
        <v>50</v>
      </c>
      <c r="K53">
        <f t="shared" si="82"/>
        <v>97</v>
      </c>
      <c r="L53">
        <v>12</v>
      </c>
      <c r="M53">
        <v>3</v>
      </c>
      <c r="N53">
        <v>8</v>
      </c>
      <c r="O53" s="10" t="s">
        <v>442</v>
      </c>
      <c r="P53" s="10" t="s">
        <v>432</v>
      </c>
      <c r="T53" s="10" t="s">
        <v>442</v>
      </c>
      <c r="V53" t="s">
        <v>276</v>
      </c>
      <c r="X53" t="s">
        <v>241</v>
      </c>
      <c r="AG53" t="s">
        <v>266</v>
      </c>
      <c r="AH53">
        <v>200</v>
      </c>
      <c r="AI53" t="s">
        <v>456</v>
      </c>
      <c r="AJ53" t="s">
        <v>457</v>
      </c>
      <c r="AK53" t="s">
        <v>458</v>
      </c>
      <c r="AL53" t="s">
        <v>459</v>
      </c>
      <c r="AM53" t="s">
        <v>460</v>
      </c>
      <c r="AN53" t="s">
        <v>461</v>
      </c>
      <c r="AO53" t="s">
        <v>462</v>
      </c>
      <c r="AP53" t="s">
        <v>463</v>
      </c>
      <c r="BM53" t="str">
        <f t="shared" si="56"/>
        <v>2 Tütün tabakasi güzel dokulu falan | Weiß M | Deutsch)</v>
      </c>
      <c r="BN53" s="11" t="s">
        <v>464</v>
      </c>
      <c r="BO53" t="str">
        <f t="shared" si="57"/>
        <v>2 Tütün tabakasi güzel dokulu falan | Weiß M | Deutsch)BULLET-1</v>
      </c>
      <c r="BP53" t="str">
        <f t="shared" si="58"/>
        <v>2 Tütün tabakasi güzel dokulu falan | Weiß M | Deutsch)BULLET-2</v>
      </c>
      <c r="BQ53" t="str">
        <f t="shared" si="59"/>
        <v>2 Tütün tabakasi güzel dokulu falan | Weiß M | Deutsch)BULLET-3</v>
      </c>
      <c r="BR53" t="str">
        <f t="shared" si="60"/>
        <v>2 Tütün tabakasi güzel dokulu falan | Weiß M | English)</v>
      </c>
      <c r="BS53" s="11" t="s">
        <v>465</v>
      </c>
      <c r="BT53" t="str">
        <f t="shared" si="61"/>
        <v>2 Tütün tabakasi güzel dokulu falan | Weiß M | English)BULLET-1</v>
      </c>
      <c r="BU53" t="str">
        <f t="shared" si="62"/>
        <v>2 Tütün tabakasi güzel dokulu falan | Weiß M | English)BULLET-2</v>
      </c>
      <c r="BV53" t="str">
        <f t="shared" si="63"/>
        <v>2 Tütün tabakasi güzel dokulu falan | Weiß M | English)BULLET-3</v>
      </c>
      <c r="BW53" t="str">
        <f t="shared" si="64"/>
        <v>2 Tütün tabakasi güzel dokulu falan | Weiß M | Türkçe)</v>
      </c>
      <c r="BX53" s="11" t="s">
        <v>466</v>
      </c>
      <c r="BY53" t="str">
        <f t="shared" si="65"/>
        <v>2 Tütün tabakasi güzel dokulu falan | Weiß M | Türkçe)BULLET-1</v>
      </c>
      <c r="BZ53" t="str">
        <f t="shared" si="66"/>
        <v>2 Tütün tabakasi güzel dokulu falan | Weiß M | Türkçe)BULLET-2</v>
      </c>
      <c r="CA53" t="str">
        <f t="shared" si="67"/>
        <v>2 Tütün tabakasi güzel dokulu falan | Weiß M | Türkçe)BULLET-3</v>
      </c>
      <c r="CB53" t="str">
        <f t="shared" si="68"/>
        <v>2 Tütün tabakasi güzel dokulu falan | Weiß M | Français)</v>
      </c>
      <c r="CC53" s="11" t="s">
        <v>467</v>
      </c>
      <c r="CD53" t="str">
        <f t="shared" si="69"/>
        <v>2 Tütün tabakasi güzel dokulu falan | Weiß M | Français)BULLET-1</v>
      </c>
      <c r="CE53" t="str">
        <f t="shared" si="70"/>
        <v>2 Tütün tabakasi güzel dokulu falan | Weiß M | Français)BULLET-2</v>
      </c>
      <c r="CF53" t="str">
        <f t="shared" si="71"/>
        <v>2 Tütün tabakasi güzel dokulu falan | Weiß M | Français)BULLET-3</v>
      </c>
      <c r="CG53" t="str">
        <f t="shared" si="72"/>
        <v>2 Tütün tabakasi güzel dokulu falan | Weiß M | Italiano)</v>
      </c>
      <c r="CH53" s="11" t="s">
        <v>468</v>
      </c>
      <c r="CI53" t="str">
        <f t="shared" si="73"/>
        <v>2 Tütün tabakasi güzel dokulu falan | Weiß M | Italiano)BULLET-1</v>
      </c>
      <c r="CJ53" t="str">
        <f t="shared" si="74"/>
        <v>2 Tütün tabakasi güzel dokulu falan | Weiß M | Italiano)BULLET-2</v>
      </c>
      <c r="CK53" t="str">
        <f t="shared" si="75"/>
        <v>2 Tütün tabakasi güzel dokulu falan | Weiß M | Italiano)BULLET-3</v>
      </c>
      <c r="CL53" t="str">
        <f t="shared" si="76"/>
        <v>2 Tütün tabakasi güzel dokulu falan | Weiß M | Español)</v>
      </c>
      <c r="CM53" s="11" t="s">
        <v>469</v>
      </c>
      <c r="CN53" t="str">
        <f t="shared" si="77"/>
        <v>2 Tütün tabakasi güzel dokulu falan | Weiß M | Español)BULLET-1</v>
      </c>
      <c r="CO53" t="str">
        <f t="shared" si="78"/>
        <v>2 Tütün tabakasi güzel dokulu falan | Weiß M | Español)BULLET-2</v>
      </c>
      <c r="CP53" t="str">
        <f t="shared" si="79"/>
        <v>2 Tütün tabakasi güzel dokulu falan | Weiß M | Español)BULLET-3</v>
      </c>
      <c r="CQ53">
        <v>10</v>
      </c>
      <c r="CT53">
        <v>12</v>
      </c>
      <c r="CW53">
        <v>12</v>
      </c>
      <c r="CZ53">
        <v>14</v>
      </c>
      <c r="DC53">
        <v>16</v>
      </c>
      <c r="DF53">
        <v>18</v>
      </c>
      <c r="DI53">
        <f t="shared" si="80"/>
        <v>603</v>
      </c>
      <c r="DO53" t="str">
        <f t="shared" si="81"/>
        <v>2SEO1 Tütün tabakasi güzel dokulu falan | Weiß M</v>
      </c>
      <c r="DP53" t="str">
        <f t="shared" si="25"/>
        <v>2SEO1 Tütün tabakasi güzel dokulu falan | Weiß M DESCRIPTION</v>
      </c>
      <c r="DQ53" t="str">
        <f t="shared" si="26"/>
        <v>2SEO1 Tütün tabakasi güzel dokulu falan | Weiß M KEYWORD</v>
      </c>
    </row>
    <row r="54" spans="1:121" ht="15" customHeight="1" x14ac:dyDescent="0.25">
      <c r="A54" t="s">
        <v>236</v>
      </c>
      <c r="B54" t="s">
        <v>333</v>
      </c>
      <c r="C54" t="s">
        <v>284</v>
      </c>
      <c r="D54" t="s">
        <v>228</v>
      </c>
      <c r="E54" s="9" t="s">
        <v>402</v>
      </c>
      <c r="F54">
        <v>50</v>
      </c>
      <c r="K54">
        <f t="shared" si="82"/>
        <v>98</v>
      </c>
      <c r="L54">
        <v>12</v>
      </c>
      <c r="M54">
        <v>3</v>
      </c>
      <c r="N54">
        <v>8</v>
      </c>
      <c r="O54" s="10" t="s">
        <v>443</v>
      </c>
      <c r="P54" s="10" t="s">
        <v>432</v>
      </c>
      <c r="T54" s="10" t="s">
        <v>443</v>
      </c>
      <c r="V54" t="s">
        <v>277</v>
      </c>
      <c r="X54" t="s">
        <v>241</v>
      </c>
      <c r="AG54" t="s">
        <v>266</v>
      </c>
      <c r="AH54">
        <v>200</v>
      </c>
      <c r="AI54" t="s">
        <v>456</v>
      </c>
      <c r="AJ54" t="s">
        <v>457</v>
      </c>
      <c r="AK54" t="s">
        <v>458</v>
      </c>
      <c r="AL54" t="s">
        <v>459</v>
      </c>
      <c r="AM54" t="s">
        <v>460</v>
      </c>
      <c r="AN54" t="s">
        <v>461</v>
      </c>
      <c r="AO54" t="s">
        <v>462</v>
      </c>
      <c r="AP54" t="s">
        <v>463</v>
      </c>
      <c r="BM54" t="str">
        <f t="shared" si="56"/>
        <v>2 Tütün tabakasi güzel dokulu falan | Grün M | Deutsch)</v>
      </c>
      <c r="BN54" s="11" t="s">
        <v>464</v>
      </c>
      <c r="BO54" t="str">
        <f t="shared" si="57"/>
        <v>2 Tütün tabakasi güzel dokulu falan | Grün M | Deutsch)BULLET-1</v>
      </c>
      <c r="BP54" t="str">
        <f t="shared" si="58"/>
        <v>2 Tütün tabakasi güzel dokulu falan | Grün M | Deutsch)BULLET-2</v>
      </c>
      <c r="BQ54" t="str">
        <f t="shared" si="59"/>
        <v>2 Tütün tabakasi güzel dokulu falan | Grün M | Deutsch)BULLET-3</v>
      </c>
      <c r="BR54" t="str">
        <f t="shared" si="60"/>
        <v>2 Tütün tabakasi güzel dokulu falan | Grün M | English)</v>
      </c>
      <c r="BS54" s="11" t="s">
        <v>465</v>
      </c>
      <c r="BT54" t="str">
        <f t="shared" si="61"/>
        <v>2 Tütün tabakasi güzel dokulu falan | Grün M | English)BULLET-1</v>
      </c>
      <c r="BU54" t="str">
        <f t="shared" si="62"/>
        <v>2 Tütün tabakasi güzel dokulu falan | Grün M | English)BULLET-2</v>
      </c>
      <c r="BV54" t="str">
        <f t="shared" si="63"/>
        <v>2 Tütün tabakasi güzel dokulu falan | Grün M | English)BULLET-3</v>
      </c>
      <c r="BW54" t="str">
        <f t="shared" si="64"/>
        <v>2 Tütün tabakasi güzel dokulu falan | Grün M | Türkçe)</v>
      </c>
      <c r="BX54" s="11" t="s">
        <v>466</v>
      </c>
      <c r="BY54" t="str">
        <f t="shared" si="65"/>
        <v>2 Tütün tabakasi güzel dokulu falan | Grün M | Türkçe)BULLET-1</v>
      </c>
      <c r="BZ54" t="str">
        <f t="shared" si="66"/>
        <v>2 Tütün tabakasi güzel dokulu falan | Grün M | Türkçe)BULLET-2</v>
      </c>
      <c r="CA54" t="str">
        <f t="shared" si="67"/>
        <v>2 Tütün tabakasi güzel dokulu falan | Grün M | Türkçe)BULLET-3</v>
      </c>
      <c r="CB54" t="str">
        <f t="shared" si="68"/>
        <v>2 Tütün tabakasi güzel dokulu falan | Grün M | Français)</v>
      </c>
      <c r="CC54" s="11" t="s">
        <v>467</v>
      </c>
      <c r="CD54" t="str">
        <f t="shared" si="69"/>
        <v>2 Tütün tabakasi güzel dokulu falan | Grün M | Français)BULLET-1</v>
      </c>
      <c r="CE54" t="str">
        <f t="shared" si="70"/>
        <v>2 Tütün tabakasi güzel dokulu falan | Grün M | Français)BULLET-2</v>
      </c>
      <c r="CF54" t="str">
        <f t="shared" si="71"/>
        <v>2 Tütün tabakasi güzel dokulu falan | Grün M | Français)BULLET-3</v>
      </c>
      <c r="CG54" t="str">
        <f t="shared" si="72"/>
        <v>2 Tütün tabakasi güzel dokulu falan | Grün M | Italiano)</v>
      </c>
      <c r="CH54" s="11" t="s">
        <v>468</v>
      </c>
      <c r="CI54" t="str">
        <f t="shared" si="73"/>
        <v>2 Tütün tabakasi güzel dokulu falan | Grün M | Italiano)BULLET-1</v>
      </c>
      <c r="CJ54" t="str">
        <f t="shared" si="74"/>
        <v>2 Tütün tabakasi güzel dokulu falan | Grün M | Italiano)BULLET-2</v>
      </c>
      <c r="CK54" t="str">
        <f t="shared" si="75"/>
        <v>2 Tütün tabakasi güzel dokulu falan | Grün M | Italiano)BULLET-3</v>
      </c>
      <c r="CL54" t="str">
        <f t="shared" si="76"/>
        <v>2 Tütün tabakasi güzel dokulu falan | Grün M | Español)</v>
      </c>
      <c r="CM54" s="11" t="s">
        <v>469</v>
      </c>
      <c r="CN54" t="str">
        <f t="shared" si="77"/>
        <v>2 Tütün tabakasi güzel dokulu falan | Grün M | Español)BULLET-1</v>
      </c>
      <c r="CO54" t="str">
        <f t="shared" si="78"/>
        <v>2 Tütün tabakasi güzel dokulu falan | Grün M | Español)BULLET-2</v>
      </c>
      <c r="CP54" t="str">
        <f t="shared" si="79"/>
        <v>2 Tütün tabakasi güzel dokulu falan | Grün M | Español)BULLET-3</v>
      </c>
      <c r="CQ54">
        <v>10</v>
      </c>
      <c r="CT54">
        <v>12</v>
      </c>
      <c r="CW54">
        <v>12</v>
      </c>
      <c r="CZ54">
        <v>14</v>
      </c>
      <c r="DC54">
        <v>16</v>
      </c>
      <c r="DF54">
        <v>18</v>
      </c>
      <c r="DI54">
        <f t="shared" si="80"/>
        <v>602</v>
      </c>
      <c r="DO54" t="str">
        <f t="shared" si="81"/>
        <v>2SEO1 Tütün tabakasi güzel dokulu falan | Grün M</v>
      </c>
      <c r="DP54" t="str">
        <f t="shared" si="25"/>
        <v>2SEO1 Tütün tabakasi güzel dokulu falan | Grün M DESCRIPTION</v>
      </c>
      <c r="DQ54" t="str">
        <f t="shared" si="26"/>
        <v>2SEO1 Tütün tabakasi güzel dokulu falan | Grün M KEYWORD</v>
      </c>
    </row>
    <row r="55" spans="1:121" ht="15" customHeight="1" x14ac:dyDescent="0.25">
      <c r="A55" t="s">
        <v>236</v>
      </c>
      <c r="B55" t="s">
        <v>334</v>
      </c>
      <c r="C55" t="s">
        <v>284</v>
      </c>
      <c r="D55" t="s">
        <v>228</v>
      </c>
      <c r="E55" s="9" t="s">
        <v>403</v>
      </c>
      <c r="F55">
        <v>50</v>
      </c>
      <c r="K55">
        <f t="shared" si="82"/>
        <v>99</v>
      </c>
      <c r="L55">
        <v>12</v>
      </c>
      <c r="M55">
        <v>3</v>
      </c>
      <c r="N55">
        <v>8</v>
      </c>
      <c r="O55" s="10" t="s">
        <v>444</v>
      </c>
      <c r="P55" s="10" t="s">
        <v>432</v>
      </c>
      <c r="T55" s="10" t="s">
        <v>444</v>
      </c>
      <c r="V55" t="s">
        <v>278</v>
      </c>
      <c r="X55" t="s">
        <v>241</v>
      </c>
      <c r="AG55" t="s">
        <v>266</v>
      </c>
      <c r="AH55">
        <v>200</v>
      </c>
      <c r="AI55" t="s">
        <v>456</v>
      </c>
      <c r="AJ55" t="s">
        <v>457</v>
      </c>
      <c r="AK55" t="s">
        <v>458</v>
      </c>
      <c r="AL55" t="s">
        <v>459</v>
      </c>
      <c r="AM55" t="s">
        <v>460</v>
      </c>
      <c r="AN55" t="s">
        <v>461</v>
      </c>
      <c r="AO55" t="s">
        <v>462</v>
      </c>
      <c r="AP55" t="s">
        <v>463</v>
      </c>
      <c r="BM55" t="str">
        <f t="shared" si="56"/>
        <v>2 Tütün tabakasi güzel dokulu falan | Blau M | Deutsch)</v>
      </c>
      <c r="BN55" s="11" t="s">
        <v>464</v>
      </c>
      <c r="BO55" t="str">
        <f t="shared" si="57"/>
        <v>2 Tütün tabakasi güzel dokulu falan | Blau M | Deutsch)BULLET-1</v>
      </c>
      <c r="BP55" t="str">
        <f t="shared" si="58"/>
        <v>2 Tütün tabakasi güzel dokulu falan | Blau M | Deutsch)BULLET-2</v>
      </c>
      <c r="BQ55" t="str">
        <f t="shared" si="59"/>
        <v>2 Tütün tabakasi güzel dokulu falan | Blau M | Deutsch)BULLET-3</v>
      </c>
      <c r="BR55" t="str">
        <f t="shared" si="60"/>
        <v>2 Tütün tabakasi güzel dokulu falan | Blau M | English)</v>
      </c>
      <c r="BS55" s="11" t="s">
        <v>465</v>
      </c>
      <c r="BT55" t="str">
        <f t="shared" si="61"/>
        <v>2 Tütün tabakasi güzel dokulu falan | Blau M | English)BULLET-1</v>
      </c>
      <c r="BU55" t="str">
        <f t="shared" si="62"/>
        <v>2 Tütün tabakasi güzel dokulu falan | Blau M | English)BULLET-2</v>
      </c>
      <c r="BV55" t="str">
        <f t="shared" si="63"/>
        <v>2 Tütün tabakasi güzel dokulu falan | Blau M | English)BULLET-3</v>
      </c>
      <c r="BW55" t="str">
        <f t="shared" si="64"/>
        <v>2 Tütün tabakasi güzel dokulu falan | Blau M | Türkçe)</v>
      </c>
      <c r="BX55" s="11" t="s">
        <v>466</v>
      </c>
      <c r="BY55" t="str">
        <f t="shared" si="65"/>
        <v>2 Tütün tabakasi güzel dokulu falan | Blau M | Türkçe)BULLET-1</v>
      </c>
      <c r="BZ55" t="str">
        <f t="shared" si="66"/>
        <v>2 Tütün tabakasi güzel dokulu falan | Blau M | Türkçe)BULLET-2</v>
      </c>
      <c r="CA55" t="str">
        <f t="shared" si="67"/>
        <v>2 Tütün tabakasi güzel dokulu falan | Blau M | Türkçe)BULLET-3</v>
      </c>
      <c r="CB55" t="str">
        <f t="shared" si="68"/>
        <v>2 Tütün tabakasi güzel dokulu falan | Blau M | Français)</v>
      </c>
      <c r="CC55" s="11" t="s">
        <v>467</v>
      </c>
      <c r="CD55" t="str">
        <f t="shared" si="69"/>
        <v>2 Tütün tabakasi güzel dokulu falan | Blau M | Français)BULLET-1</v>
      </c>
      <c r="CE55" t="str">
        <f t="shared" si="70"/>
        <v>2 Tütün tabakasi güzel dokulu falan | Blau M | Français)BULLET-2</v>
      </c>
      <c r="CF55" t="str">
        <f t="shared" si="71"/>
        <v>2 Tütün tabakasi güzel dokulu falan | Blau M | Français)BULLET-3</v>
      </c>
      <c r="CG55" t="str">
        <f t="shared" si="72"/>
        <v>2 Tütün tabakasi güzel dokulu falan | Blau M | Italiano)</v>
      </c>
      <c r="CH55" s="11" t="s">
        <v>468</v>
      </c>
      <c r="CI55" t="str">
        <f t="shared" si="73"/>
        <v>2 Tütün tabakasi güzel dokulu falan | Blau M | Italiano)BULLET-1</v>
      </c>
      <c r="CJ55" t="str">
        <f t="shared" si="74"/>
        <v>2 Tütün tabakasi güzel dokulu falan | Blau M | Italiano)BULLET-2</v>
      </c>
      <c r="CK55" t="str">
        <f t="shared" si="75"/>
        <v>2 Tütün tabakasi güzel dokulu falan | Blau M | Italiano)BULLET-3</v>
      </c>
      <c r="CL55" t="str">
        <f t="shared" si="76"/>
        <v>2 Tütün tabakasi güzel dokulu falan | Blau M | Español)</v>
      </c>
      <c r="CM55" s="11" t="s">
        <v>469</v>
      </c>
      <c r="CN55" t="str">
        <f t="shared" si="77"/>
        <v>2 Tütün tabakasi güzel dokulu falan | Blau M | Español)BULLET-1</v>
      </c>
      <c r="CO55" t="str">
        <f t="shared" si="78"/>
        <v>2 Tütün tabakasi güzel dokulu falan | Blau M | Español)BULLET-2</v>
      </c>
      <c r="CP55" t="str">
        <f t="shared" si="79"/>
        <v>2 Tütün tabakasi güzel dokulu falan | Blau M | Español)BULLET-3</v>
      </c>
      <c r="CQ55">
        <v>10</v>
      </c>
      <c r="CT55">
        <v>12</v>
      </c>
      <c r="CW55">
        <v>12</v>
      </c>
      <c r="CZ55">
        <v>14</v>
      </c>
      <c r="DC55">
        <v>16</v>
      </c>
      <c r="DF55">
        <v>18</v>
      </c>
      <c r="DI55">
        <f t="shared" si="80"/>
        <v>601</v>
      </c>
      <c r="DO55" t="str">
        <f t="shared" si="81"/>
        <v>2SEO1 Tütün tabakasi güzel dokulu falan | Blau M</v>
      </c>
      <c r="DP55" t="str">
        <f t="shared" si="25"/>
        <v>2SEO1 Tütün tabakasi güzel dokulu falan | Blau M DESCRIPTION</v>
      </c>
      <c r="DQ55" t="str">
        <f t="shared" si="26"/>
        <v>2SEO1 Tütün tabakasi güzel dokulu falan | Blau M KEYWORD</v>
      </c>
    </row>
    <row r="56" spans="1:121" ht="15" customHeight="1" x14ac:dyDescent="0.25">
      <c r="A56" t="s">
        <v>236</v>
      </c>
      <c r="B56" t="s">
        <v>335</v>
      </c>
      <c r="C56" t="s">
        <v>284</v>
      </c>
      <c r="D56" t="s">
        <v>228</v>
      </c>
      <c r="E56" s="9" t="s">
        <v>404</v>
      </c>
      <c r="F56">
        <v>50</v>
      </c>
      <c r="K56">
        <f t="shared" si="82"/>
        <v>100</v>
      </c>
      <c r="L56">
        <v>12</v>
      </c>
      <c r="M56">
        <v>3</v>
      </c>
      <c r="N56">
        <v>8</v>
      </c>
      <c r="O56" s="10" t="s">
        <v>445</v>
      </c>
      <c r="P56" s="10" t="s">
        <v>432</v>
      </c>
      <c r="T56" s="10" t="s">
        <v>445</v>
      </c>
      <c r="V56" t="s">
        <v>279</v>
      </c>
      <c r="X56" t="s">
        <v>241</v>
      </c>
      <c r="AG56" t="s">
        <v>266</v>
      </c>
      <c r="AH56">
        <v>200</v>
      </c>
      <c r="AI56" t="s">
        <v>456</v>
      </c>
      <c r="AJ56" t="s">
        <v>457</v>
      </c>
      <c r="AK56" t="s">
        <v>458</v>
      </c>
      <c r="AL56" t="s">
        <v>459</v>
      </c>
      <c r="AM56" t="s">
        <v>460</v>
      </c>
      <c r="AN56" t="s">
        <v>461</v>
      </c>
      <c r="AO56" t="s">
        <v>462</v>
      </c>
      <c r="AP56" t="s">
        <v>463</v>
      </c>
      <c r="BM56" t="str">
        <f t="shared" si="56"/>
        <v>2 Tütün tabakasi güzel dokulu falan | Gelb M | Deutsch)</v>
      </c>
      <c r="BN56" s="11" t="s">
        <v>464</v>
      </c>
      <c r="BO56" t="str">
        <f t="shared" si="57"/>
        <v>2 Tütün tabakasi güzel dokulu falan | Gelb M | Deutsch)BULLET-1</v>
      </c>
      <c r="BP56" t="str">
        <f t="shared" si="58"/>
        <v>2 Tütün tabakasi güzel dokulu falan | Gelb M | Deutsch)BULLET-2</v>
      </c>
      <c r="BQ56" t="str">
        <f t="shared" si="59"/>
        <v>2 Tütün tabakasi güzel dokulu falan | Gelb M | Deutsch)BULLET-3</v>
      </c>
      <c r="BR56" t="str">
        <f t="shared" si="60"/>
        <v>2 Tütün tabakasi güzel dokulu falan | Gelb M | English)</v>
      </c>
      <c r="BS56" s="11" t="s">
        <v>465</v>
      </c>
      <c r="BT56" t="str">
        <f t="shared" si="61"/>
        <v>2 Tütün tabakasi güzel dokulu falan | Gelb M | English)BULLET-1</v>
      </c>
      <c r="BU56" t="str">
        <f t="shared" si="62"/>
        <v>2 Tütün tabakasi güzel dokulu falan | Gelb M | English)BULLET-2</v>
      </c>
      <c r="BV56" t="str">
        <f t="shared" si="63"/>
        <v>2 Tütün tabakasi güzel dokulu falan | Gelb M | English)BULLET-3</v>
      </c>
      <c r="BW56" t="str">
        <f t="shared" si="64"/>
        <v>2 Tütün tabakasi güzel dokulu falan | Gelb M | Türkçe)</v>
      </c>
      <c r="BX56" s="11" t="s">
        <v>466</v>
      </c>
      <c r="BY56" t="str">
        <f t="shared" si="65"/>
        <v>2 Tütün tabakasi güzel dokulu falan | Gelb M | Türkçe)BULLET-1</v>
      </c>
      <c r="BZ56" t="str">
        <f t="shared" si="66"/>
        <v>2 Tütün tabakasi güzel dokulu falan | Gelb M | Türkçe)BULLET-2</v>
      </c>
      <c r="CA56" t="str">
        <f t="shared" si="67"/>
        <v>2 Tütün tabakasi güzel dokulu falan | Gelb M | Türkçe)BULLET-3</v>
      </c>
      <c r="CB56" t="str">
        <f t="shared" si="68"/>
        <v>2 Tütün tabakasi güzel dokulu falan | Gelb M | Français)</v>
      </c>
      <c r="CC56" s="11" t="s">
        <v>467</v>
      </c>
      <c r="CD56" t="str">
        <f t="shared" si="69"/>
        <v>2 Tütün tabakasi güzel dokulu falan | Gelb M | Français)BULLET-1</v>
      </c>
      <c r="CE56" t="str">
        <f t="shared" si="70"/>
        <v>2 Tütün tabakasi güzel dokulu falan | Gelb M | Français)BULLET-2</v>
      </c>
      <c r="CF56" t="str">
        <f t="shared" si="71"/>
        <v>2 Tütün tabakasi güzel dokulu falan | Gelb M | Français)BULLET-3</v>
      </c>
      <c r="CG56" t="str">
        <f t="shared" si="72"/>
        <v>2 Tütün tabakasi güzel dokulu falan | Gelb M | Italiano)</v>
      </c>
      <c r="CH56" s="11" t="s">
        <v>468</v>
      </c>
      <c r="CI56" t="str">
        <f t="shared" si="73"/>
        <v>2 Tütün tabakasi güzel dokulu falan | Gelb M | Italiano)BULLET-1</v>
      </c>
      <c r="CJ56" t="str">
        <f t="shared" si="74"/>
        <v>2 Tütün tabakasi güzel dokulu falan | Gelb M | Italiano)BULLET-2</v>
      </c>
      <c r="CK56" t="str">
        <f t="shared" si="75"/>
        <v>2 Tütün tabakasi güzel dokulu falan | Gelb M | Italiano)BULLET-3</v>
      </c>
      <c r="CL56" t="str">
        <f t="shared" si="76"/>
        <v>2 Tütün tabakasi güzel dokulu falan | Gelb M | Español)</v>
      </c>
      <c r="CM56" s="11" t="s">
        <v>469</v>
      </c>
      <c r="CN56" t="str">
        <f t="shared" si="77"/>
        <v>2 Tütün tabakasi güzel dokulu falan | Gelb M | Español)BULLET-1</v>
      </c>
      <c r="CO56" t="str">
        <f t="shared" si="78"/>
        <v>2 Tütün tabakasi güzel dokulu falan | Gelb M | Español)BULLET-2</v>
      </c>
      <c r="CP56" t="str">
        <f t="shared" si="79"/>
        <v>2 Tütün tabakasi güzel dokulu falan | Gelb M | Español)BULLET-3</v>
      </c>
      <c r="CQ56">
        <v>10</v>
      </c>
      <c r="CT56">
        <v>12</v>
      </c>
      <c r="CW56">
        <v>12</v>
      </c>
      <c r="CZ56">
        <v>14</v>
      </c>
      <c r="DC56">
        <v>16</v>
      </c>
      <c r="DF56">
        <v>18</v>
      </c>
      <c r="DI56">
        <f t="shared" si="80"/>
        <v>600</v>
      </c>
      <c r="DO56" t="str">
        <f t="shared" si="81"/>
        <v>2SEO1 Tütün tabakasi güzel dokulu falan | Gelb M</v>
      </c>
      <c r="DP56" t="str">
        <f t="shared" si="25"/>
        <v>2SEO1 Tütün tabakasi güzel dokulu falan | Gelb M DESCRIPTION</v>
      </c>
      <c r="DQ56" t="str">
        <f t="shared" si="26"/>
        <v>2SEO1 Tütün tabakasi güzel dokulu falan | Gelb M KEYWORD</v>
      </c>
    </row>
    <row r="57" spans="1:121" ht="15" customHeight="1" x14ac:dyDescent="0.25">
      <c r="A57" t="s">
        <v>236</v>
      </c>
      <c r="B57" t="s">
        <v>336</v>
      </c>
      <c r="C57" t="s">
        <v>284</v>
      </c>
      <c r="D57" t="s">
        <v>228</v>
      </c>
      <c r="E57" s="9" t="s">
        <v>405</v>
      </c>
      <c r="F57">
        <v>50</v>
      </c>
      <c r="K57">
        <f t="shared" si="82"/>
        <v>101</v>
      </c>
      <c r="L57">
        <v>12</v>
      </c>
      <c r="M57">
        <v>3</v>
      </c>
      <c r="N57">
        <v>8</v>
      </c>
      <c r="O57" s="10" t="s">
        <v>446</v>
      </c>
      <c r="P57" s="10" t="s">
        <v>432</v>
      </c>
      <c r="T57" s="10" t="s">
        <v>446</v>
      </c>
      <c r="V57" t="s">
        <v>280</v>
      </c>
      <c r="X57" t="s">
        <v>241</v>
      </c>
      <c r="AG57" t="s">
        <v>266</v>
      </c>
      <c r="AH57">
        <v>200</v>
      </c>
      <c r="AI57" t="s">
        <v>456</v>
      </c>
      <c r="AJ57" t="s">
        <v>457</v>
      </c>
      <c r="AK57" t="s">
        <v>458</v>
      </c>
      <c r="AL57" t="s">
        <v>459</v>
      </c>
      <c r="AM57" t="s">
        <v>460</v>
      </c>
      <c r="AN57" t="s">
        <v>461</v>
      </c>
      <c r="AO57" t="s">
        <v>462</v>
      </c>
      <c r="AP57" t="s">
        <v>463</v>
      </c>
      <c r="BM57" t="str">
        <f t="shared" si="56"/>
        <v>2 Tütün tabakasi güzel dokulu falan | Lila M | Deutsch)</v>
      </c>
      <c r="BN57" s="11" t="s">
        <v>464</v>
      </c>
      <c r="BO57" t="str">
        <f t="shared" si="57"/>
        <v>2 Tütün tabakasi güzel dokulu falan | Lila M | Deutsch)BULLET-1</v>
      </c>
      <c r="BP57" t="str">
        <f t="shared" si="58"/>
        <v>2 Tütün tabakasi güzel dokulu falan | Lila M | Deutsch)BULLET-2</v>
      </c>
      <c r="BQ57" t="str">
        <f t="shared" si="59"/>
        <v>2 Tütün tabakasi güzel dokulu falan | Lila M | Deutsch)BULLET-3</v>
      </c>
      <c r="BR57" t="str">
        <f t="shared" si="60"/>
        <v>2 Tütün tabakasi güzel dokulu falan | Lila M | English)</v>
      </c>
      <c r="BS57" s="11" t="s">
        <v>465</v>
      </c>
      <c r="BT57" t="str">
        <f t="shared" si="61"/>
        <v>2 Tütün tabakasi güzel dokulu falan | Lila M | English)BULLET-1</v>
      </c>
      <c r="BU57" t="str">
        <f t="shared" si="62"/>
        <v>2 Tütün tabakasi güzel dokulu falan | Lila M | English)BULLET-2</v>
      </c>
      <c r="BV57" t="str">
        <f t="shared" si="63"/>
        <v>2 Tütün tabakasi güzel dokulu falan | Lila M | English)BULLET-3</v>
      </c>
      <c r="BW57" t="str">
        <f t="shared" si="64"/>
        <v>2 Tütün tabakasi güzel dokulu falan | Lila M | Türkçe)</v>
      </c>
      <c r="BX57" s="11" t="s">
        <v>466</v>
      </c>
      <c r="BY57" t="str">
        <f t="shared" si="65"/>
        <v>2 Tütün tabakasi güzel dokulu falan | Lila M | Türkçe)BULLET-1</v>
      </c>
      <c r="BZ57" t="str">
        <f t="shared" si="66"/>
        <v>2 Tütün tabakasi güzel dokulu falan | Lila M | Türkçe)BULLET-2</v>
      </c>
      <c r="CA57" t="str">
        <f t="shared" si="67"/>
        <v>2 Tütün tabakasi güzel dokulu falan | Lila M | Türkçe)BULLET-3</v>
      </c>
      <c r="CB57" t="str">
        <f t="shared" si="68"/>
        <v>2 Tütün tabakasi güzel dokulu falan | Lila M | Français)</v>
      </c>
      <c r="CC57" s="11" t="s">
        <v>467</v>
      </c>
      <c r="CD57" t="str">
        <f t="shared" si="69"/>
        <v>2 Tütün tabakasi güzel dokulu falan | Lila M | Français)BULLET-1</v>
      </c>
      <c r="CE57" t="str">
        <f t="shared" si="70"/>
        <v>2 Tütün tabakasi güzel dokulu falan | Lila M | Français)BULLET-2</v>
      </c>
      <c r="CF57" t="str">
        <f t="shared" si="71"/>
        <v>2 Tütün tabakasi güzel dokulu falan | Lila M | Français)BULLET-3</v>
      </c>
      <c r="CG57" t="str">
        <f t="shared" si="72"/>
        <v>2 Tütün tabakasi güzel dokulu falan | Lila M | Italiano)</v>
      </c>
      <c r="CH57" s="11" t="s">
        <v>468</v>
      </c>
      <c r="CI57" t="str">
        <f t="shared" si="73"/>
        <v>2 Tütün tabakasi güzel dokulu falan | Lila M | Italiano)BULLET-1</v>
      </c>
      <c r="CJ57" t="str">
        <f t="shared" si="74"/>
        <v>2 Tütün tabakasi güzel dokulu falan | Lila M | Italiano)BULLET-2</v>
      </c>
      <c r="CK57" t="str">
        <f t="shared" si="75"/>
        <v>2 Tütün tabakasi güzel dokulu falan | Lila M | Italiano)BULLET-3</v>
      </c>
      <c r="CL57" t="str">
        <f t="shared" si="76"/>
        <v>2 Tütün tabakasi güzel dokulu falan | Lila M | Español)</v>
      </c>
      <c r="CM57" s="11" t="s">
        <v>469</v>
      </c>
      <c r="CN57" t="str">
        <f t="shared" si="77"/>
        <v>2 Tütün tabakasi güzel dokulu falan | Lila M | Español)BULLET-1</v>
      </c>
      <c r="CO57" t="str">
        <f t="shared" si="78"/>
        <v>2 Tütün tabakasi güzel dokulu falan | Lila M | Español)BULLET-2</v>
      </c>
      <c r="CP57" t="str">
        <f t="shared" si="79"/>
        <v>2 Tütün tabakasi güzel dokulu falan | Lila M | Español)BULLET-3</v>
      </c>
      <c r="CQ57">
        <v>10</v>
      </c>
      <c r="CT57">
        <v>12</v>
      </c>
      <c r="CW57">
        <v>12</v>
      </c>
      <c r="CZ57">
        <v>14</v>
      </c>
      <c r="DC57">
        <v>16</v>
      </c>
      <c r="DF57">
        <v>18</v>
      </c>
      <c r="DI57">
        <f t="shared" si="80"/>
        <v>599</v>
      </c>
      <c r="DO57" t="str">
        <f t="shared" si="81"/>
        <v>2SEO1 Tütün tabakasi güzel dokulu falan | Lila M</v>
      </c>
      <c r="DP57" t="str">
        <f t="shared" si="25"/>
        <v>2SEO1 Tütün tabakasi güzel dokulu falan | Lila M DESCRIPTION</v>
      </c>
      <c r="DQ57" t="str">
        <f t="shared" si="26"/>
        <v>2SEO1 Tütün tabakasi güzel dokulu falan | Lila M KEYWORD</v>
      </c>
    </row>
    <row r="58" spans="1:121" ht="15" customHeight="1" x14ac:dyDescent="0.25">
      <c r="A58" t="s">
        <v>236</v>
      </c>
      <c r="B58" t="s">
        <v>337</v>
      </c>
      <c r="C58" t="s">
        <v>284</v>
      </c>
      <c r="D58" t="s">
        <v>228</v>
      </c>
      <c r="E58" s="9" t="s">
        <v>406</v>
      </c>
      <c r="F58">
        <v>50</v>
      </c>
      <c r="K58">
        <f t="shared" si="82"/>
        <v>102</v>
      </c>
      <c r="L58">
        <v>12</v>
      </c>
      <c r="M58">
        <v>3</v>
      </c>
      <c r="N58">
        <v>8</v>
      </c>
      <c r="O58" s="10" t="s">
        <v>447</v>
      </c>
      <c r="P58" s="10" t="s">
        <v>432</v>
      </c>
      <c r="T58" s="10" t="s">
        <v>447</v>
      </c>
      <c r="V58" t="s">
        <v>281</v>
      </c>
      <c r="X58" t="s">
        <v>241</v>
      </c>
      <c r="AG58" t="s">
        <v>266</v>
      </c>
      <c r="AH58">
        <v>200</v>
      </c>
      <c r="AI58" t="s">
        <v>456</v>
      </c>
      <c r="AJ58" t="s">
        <v>457</v>
      </c>
      <c r="AK58" t="s">
        <v>458</v>
      </c>
      <c r="AL58" t="s">
        <v>459</v>
      </c>
      <c r="AM58" t="s">
        <v>460</v>
      </c>
      <c r="AN58" t="s">
        <v>461</v>
      </c>
      <c r="AO58" t="s">
        <v>462</v>
      </c>
      <c r="AP58" t="s">
        <v>463</v>
      </c>
      <c r="BM58" t="str">
        <f t="shared" si="56"/>
        <v>2 Tütün tabakasi güzel dokulu falan | Braun M | Deutsch)</v>
      </c>
      <c r="BN58" s="11" t="s">
        <v>464</v>
      </c>
      <c r="BO58" t="str">
        <f t="shared" si="57"/>
        <v>2 Tütün tabakasi güzel dokulu falan | Braun M | Deutsch)BULLET-1</v>
      </c>
      <c r="BP58" t="str">
        <f t="shared" si="58"/>
        <v>2 Tütün tabakasi güzel dokulu falan | Braun M | Deutsch)BULLET-2</v>
      </c>
      <c r="BQ58" t="str">
        <f t="shared" si="59"/>
        <v>2 Tütün tabakasi güzel dokulu falan | Braun M | Deutsch)BULLET-3</v>
      </c>
      <c r="BR58" t="str">
        <f t="shared" si="60"/>
        <v>2 Tütün tabakasi güzel dokulu falan | Braun M | English)</v>
      </c>
      <c r="BS58" s="11" t="s">
        <v>465</v>
      </c>
      <c r="BT58" t="str">
        <f t="shared" si="61"/>
        <v>2 Tütün tabakasi güzel dokulu falan | Braun M | English)BULLET-1</v>
      </c>
      <c r="BU58" t="str">
        <f t="shared" si="62"/>
        <v>2 Tütün tabakasi güzel dokulu falan | Braun M | English)BULLET-2</v>
      </c>
      <c r="BV58" t="str">
        <f t="shared" si="63"/>
        <v>2 Tütün tabakasi güzel dokulu falan | Braun M | English)BULLET-3</v>
      </c>
      <c r="BW58" t="str">
        <f t="shared" si="64"/>
        <v>2 Tütün tabakasi güzel dokulu falan | Braun M | Türkçe)</v>
      </c>
      <c r="BX58" s="11" t="s">
        <v>466</v>
      </c>
      <c r="BY58" t="str">
        <f t="shared" si="65"/>
        <v>2 Tütün tabakasi güzel dokulu falan | Braun M | Türkçe)BULLET-1</v>
      </c>
      <c r="BZ58" t="str">
        <f t="shared" si="66"/>
        <v>2 Tütün tabakasi güzel dokulu falan | Braun M | Türkçe)BULLET-2</v>
      </c>
      <c r="CA58" t="str">
        <f t="shared" si="67"/>
        <v>2 Tütün tabakasi güzel dokulu falan | Braun M | Türkçe)BULLET-3</v>
      </c>
      <c r="CB58" t="str">
        <f t="shared" si="68"/>
        <v>2 Tütün tabakasi güzel dokulu falan | Braun M | Français)</v>
      </c>
      <c r="CC58" s="11" t="s">
        <v>467</v>
      </c>
      <c r="CD58" t="str">
        <f t="shared" si="69"/>
        <v>2 Tütün tabakasi güzel dokulu falan | Braun M | Français)BULLET-1</v>
      </c>
      <c r="CE58" t="str">
        <f t="shared" si="70"/>
        <v>2 Tütün tabakasi güzel dokulu falan | Braun M | Français)BULLET-2</v>
      </c>
      <c r="CF58" t="str">
        <f t="shared" si="71"/>
        <v>2 Tütün tabakasi güzel dokulu falan | Braun M | Français)BULLET-3</v>
      </c>
      <c r="CG58" t="str">
        <f t="shared" si="72"/>
        <v>2 Tütün tabakasi güzel dokulu falan | Braun M | Italiano)</v>
      </c>
      <c r="CH58" s="11" t="s">
        <v>468</v>
      </c>
      <c r="CI58" t="str">
        <f t="shared" si="73"/>
        <v>2 Tütün tabakasi güzel dokulu falan | Braun M | Italiano)BULLET-1</v>
      </c>
      <c r="CJ58" t="str">
        <f t="shared" si="74"/>
        <v>2 Tütün tabakasi güzel dokulu falan | Braun M | Italiano)BULLET-2</v>
      </c>
      <c r="CK58" t="str">
        <f t="shared" si="75"/>
        <v>2 Tütün tabakasi güzel dokulu falan | Braun M | Italiano)BULLET-3</v>
      </c>
      <c r="CL58" t="str">
        <f t="shared" si="76"/>
        <v>2 Tütün tabakasi güzel dokulu falan | Braun M | Español)</v>
      </c>
      <c r="CM58" s="11" t="s">
        <v>469</v>
      </c>
      <c r="CN58" t="str">
        <f t="shared" si="77"/>
        <v>2 Tütün tabakasi güzel dokulu falan | Braun M | Español)BULLET-1</v>
      </c>
      <c r="CO58" t="str">
        <f t="shared" si="78"/>
        <v>2 Tütün tabakasi güzel dokulu falan | Braun M | Español)BULLET-2</v>
      </c>
      <c r="CP58" t="str">
        <f t="shared" si="79"/>
        <v>2 Tütün tabakasi güzel dokulu falan | Braun M | Español)BULLET-3</v>
      </c>
      <c r="CQ58">
        <v>10</v>
      </c>
      <c r="CT58">
        <v>12</v>
      </c>
      <c r="CW58">
        <v>12</v>
      </c>
      <c r="CZ58">
        <v>14</v>
      </c>
      <c r="DC58">
        <v>16</v>
      </c>
      <c r="DF58">
        <v>18</v>
      </c>
      <c r="DI58">
        <f t="shared" si="80"/>
        <v>598</v>
      </c>
      <c r="DO58" t="str">
        <f t="shared" si="81"/>
        <v>2SEO1 Tütün tabakasi güzel dokulu falan | Braun M</v>
      </c>
      <c r="DP58" t="str">
        <f t="shared" si="25"/>
        <v>2SEO1 Tütün tabakasi güzel dokulu falan | Braun M DESCRIPTION</v>
      </c>
      <c r="DQ58" t="str">
        <f t="shared" si="26"/>
        <v>2SEO1 Tütün tabakasi güzel dokulu falan | Braun M KEYWORD</v>
      </c>
    </row>
    <row r="59" spans="1:121" ht="15" customHeight="1" x14ac:dyDescent="0.25">
      <c r="A59" t="s">
        <v>236</v>
      </c>
      <c r="B59" t="s">
        <v>338</v>
      </c>
      <c r="C59" t="s">
        <v>284</v>
      </c>
      <c r="D59" t="s">
        <v>228</v>
      </c>
      <c r="E59" s="9" t="s">
        <v>407</v>
      </c>
      <c r="F59">
        <v>50</v>
      </c>
      <c r="K59">
        <f t="shared" si="82"/>
        <v>103</v>
      </c>
      <c r="L59">
        <v>12</v>
      </c>
      <c r="M59">
        <v>3</v>
      </c>
      <c r="N59">
        <v>8</v>
      </c>
      <c r="O59" s="10" t="s">
        <v>440</v>
      </c>
      <c r="P59" s="10" t="s">
        <v>432</v>
      </c>
      <c r="T59" s="10" t="s">
        <v>440</v>
      </c>
      <c r="V59" t="s">
        <v>282</v>
      </c>
      <c r="X59" t="s">
        <v>241</v>
      </c>
      <c r="AG59" t="s">
        <v>266</v>
      </c>
      <c r="AH59">
        <v>200</v>
      </c>
      <c r="AI59" t="s">
        <v>456</v>
      </c>
      <c r="AJ59" t="s">
        <v>457</v>
      </c>
      <c r="AK59" t="s">
        <v>458</v>
      </c>
      <c r="AL59" t="s">
        <v>459</v>
      </c>
      <c r="AM59" t="s">
        <v>460</v>
      </c>
      <c r="AN59" t="s">
        <v>461</v>
      </c>
      <c r="AO59" t="s">
        <v>462</v>
      </c>
      <c r="AP59" t="s">
        <v>463</v>
      </c>
      <c r="BM59" t="str">
        <f t="shared" si="56"/>
        <v>2 Tütün tabakasi güzel dokulu falan | Rosa M | Deutsch)</v>
      </c>
      <c r="BN59" s="11" t="s">
        <v>464</v>
      </c>
      <c r="BO59" t="str">
        <f t="shared" si="57"/>
        <v>2 Tütün tabakasi güzel dokulu falan | Rosa M | Deutsch)BULLET-1</v>
      </c>
      <c r="BP59" t="str">
        <f t="shared" si="58"/>
        <v>2 Tütün tabakasi güzel dokulu falan | Rosa M | Deutsch)BULLET-2</v>
      </c>
      <c r="BQ59" t="str">
        <f t="shared" si="59"/>
        <v>2 Tütün tabakasi güzel dokulu falan | Rosa M | Deutsch)BULLET-3</v>
      </c>
      <c r="BR59" t="str">
        <f t="shared" si="60"/>
        <v>2 Tütün tabakasi güzel dokulu falan | Rosa M | English)</v>
      </c>
      <c r="BS59" s="11" t="s">
        <v>465</v>
      </c>
      <c r="BT59" t="str">
        <f t="shared" si="61"/>
        <v>2 Tütün tabakasi güzel dokulu falan | Rosa M | English)BULLET-1</v>
      </c>
      <c r="BU59" t="str">
        <f t="shared" si="62"/>
        <v>2 Tütün tabakasi güzel dokulu falan | Rosa M | English)BULLET-2</v>
      </c>
      <c r="BV59" t="str">
        <f t="shared" si="63"/>
        <v>2 Tütün tabakasi güzel dokulu falan | Rosa M | English)BULLET-3</v>
      </c>
      <c r="BW59" t="str">
        <f t="shared" si="64"/>
        <v>2 Tütün tabakasi güzel dokulu falan | Rosa M | Türkçe)</v>
      </c>
      <c r="BX59" s="11" t="s">
        <v>466</v>
      </c>
      <c r="BY59" t="str">
        <f t="shared" si="65"/>
        <v>2 Tütün tabakasi güzel dokulu falan | Rosa M | Türkçe)BULLET-1</v>
      </c>
      <c r="BZ59" t="str">
        <f t="shared" si="66"/>
        <v>2 Tütün tabakasi güzel dokulu falan | Rosa M | Türkçe)BULLET-2</v>
      </c>
      <c r="CA59" t="str">
        <f t="shared" si="67"/>
        <v>2 Tütün tabakasi güzel dokulu falan | Rosa M | Türkçe)BULLET-3</v>
      </c>
      <c r="CB59" t="str">
        <f t="shared" si="68"/>
        <v>2 Tütün tabakasi güzel dokulu falan | Rosa M | Français)</v>
      </c>
      <c r="CC59" s="11" t="s">
        <v>467</v>
      </c>
      <c r="CD59" t="str">
        <f t="shared" si="69"/>
        <v>2 Tütün tabakasi güzel dokulu falan | Rosa M | Français)BULLET-1</v>
      </c>
      <c r="CE59" t="str">
        <f t="shared" si="70"/>
        <v>2 Tütün tabakasi güzel dokulu falan | Rosa M | Français)BULLET-2</v>
      </c>
      <c r="CF59" t="str">
        <f t="shared" si="71"/>
        <v>2 Tütün tabakasi güzel dokulu falan | Rosa M | Français)BULLET-3</v>
      </c>
      <c r="CG59" t="str">
        <f t="shared" si="72"/>
        <v>2 Tütün tabakasi güzel dokulu falan | Rosa M | Italiano)</v>
      </c>
      <c r="CH59" s="11" t="s">
        <v>468</v>
      </c>
      <c r="CI59" t="str">
        <f t="shared" si="73"/>
        <v>2 Tütün tabakasi güzel dokulu falan | Rosa M | Italiano)BULLET-1</v>
      </c>
      <c r="CJ59" t="str">
        <f t="shared" si="74"/>
        <v>2 Tütün tabakasi güzel dokulu falan | Rosa M | Italiano)BULLET-2</v>
      </c>
      <c r="CK59" t="str">
        <f t="shared" si="75"/>
        <v>2 Tütün tabakasi güzel dokulu falan | Rosa M | Italiano)BULLET-3</v>
      </c>
      <c r="CL59" t="str">
        <f t="shared" si="76"/>
        <v>2 Tütün tabakasi güzel dokulu falan | Rosa M | Español)</v>
      </c>
      <c r="CM59" s="11" t="s">
        <v>469</v>
      </c>
      <c r="CN59" t="str">
        <f t="shared" si="77"/>
        <v>2 Tütün tabakasi güzel dokulu falan | Rosa M | Español)BULLET-1</v>
      </c>
      <c r="CO59" t="str">
        <f t="shared" si="78"/>
        <v>2 Tütün tabakasi güzel dokulu falan | Rosa M | Español)BULLET-2</v>
      </c>
      <c r="CP59" t="str">
        <f t="shared" si="79"/>
        <v>2 Tütün tabakasi güzel dokulu falan | Rosa M | Español)BULLET-3</v>
      </c>
      <c r="CQ59">
        <v>10</v>
      </c>
      <c r="CT59">
        <v>12</v>
      </c>
      <c r="CW59">
        <v>12</v>
      </c>
      <c r="CZ59">
        <v>14</v>
      </c>
      <c r="DC59">
        <v>16</v>
      </c>
      <c r="DF59">
        <v>18</v>
      </c>
      <c r="DI59">
        <f t="shared" si="80"/>
        <v>597</v>
      </c>
      <c r="DO59" t="str">
        <f t="shared" si="81"/>
        <v>2SEO1 Tütün tabakasi güzel dokulu falan | Rosa M</v>
      </c>
      <c r="DP59" t="str">
        <f t="shared" si="25"/>
        <v>2SEO1 Tütün tabakasi güzel dokulu falan | Rosa M DESCRIPTION</v>
      </c>
      <c r="DQ59" t="str">
        <f t="shared" si="26"/>
        <v>2SEO1 Tütün tabakasi güzel dokulu falan | Rosa M KEYWORD</v>
      </c>
    </row>
    <row r="60" spans="1:121" ht="15" customHeight="1" x14ac:dyDescent="0.25">
      <c r="A60" t="s">
        <v>236</v>
      </c>
      <c r="B60" t="s">
        <v>339</v>
      </c>
      <c r="C60" t="s">
        <v>284</v>
      </c>
      <c r="D60" t="s">
        <v>228</v>
      </c>
      <c r="E60" s="9" t="s">
        <v>408</v>
      </c>
      <c r="F60">
        <v>50</v>
      </c>
      <c r="K60">
        <f t="shared" si="82"/>
        <v>104</v>
      </c>
      <c r="L60">
        <v>12</v>
      </c>
      <c r="M60">
        <v>3</v>
      </c>
      <c r="N60">
        <v>8</v>
      </c>
      <c r="O60" s="10" t="s">
        <v>431</v>
      </c>
      <c r="P60" s="10" t="s">
        <v>432</v>
      </c>
      <c r="T60" s="10" t="s">
        <v>431</v>
      </c>
      <c r="V60" t="s">
        <v>238</v>
      </c>
      <c r="X60" t="s">
        <v>269</v>
      </c>
      <c r="AG60" t="s">
        <v>266</v>
      </c>
      <c r="AH60">
        <v>200</v>
      </c>
      <c r="AI60" t="s">
        <v>456</v>
      </c>
      <c r="AJ60" t="s">
        <v>457</v>
      </c>
      <c r="AK60" t="s">
        <v>458</v>
      </c>
      <c r="AL60" t="s">
        <v>459</v>
      </c>
      <c r="AM60" t="s">
        <v>460</v>
      </c>
      <c r="AN60" t="s">
        <v>461</v>
      </c>
      <c r="AO60" t="s">
        <v>462</v>
      </c>
      <c r="AP60" t="s">
        <v>463</v>
      </c>
      <c r="BM60" t="str">
        <f t="shared" si="56"/>
        <v>2 Tütün tabakasi güzel dokulu falan | Rot L | Deutsch)</v>
      </c>
      <c r="BN60" s="11" t="s">
        <v>464</v>
      </c>
      <c r="BO60" t="str">
        <f t="shared" si="57"/>
        <v>2 Tütün tabakasi güzel dokulu falan | Rot L | Deutsch)BULLET-1</v>
      </c>
      <c r="BP60" t="str">
        <f t="shared" si="58"/>
        <v>2 Tütün tabakasi güzel dokulu falan | Rot L | Deutsch)BULLET-2</v>
      </c>
      <c r="BQ60" t="str">
        <f t="shared" si="59"/>
        <v>2 Tütün tabakasi güzel dokulu falan | Rot L | Deutsch)BULLET-3</v>
      </c>
      <c r="BR60" t="str">
        <f t="shared" si="60"/>
        <v>2 Tütün tabakasi güzel dokulu falan | Rot L | English)</v>
      </c>
      <c r="BS60" s="11" t="s">
        <v>465</v>
      </c>
      <c r="BT60" t="str">
        <f t="shared" si="61"/>
        <v>2 Tütün tabakasi güzel dokulu falan | Rot L | English)BULLET-1</v>
      </c>
      <c r="BU60" t="str">
        <f t="shared" si="62"/>
        <v>2 Tütün tabakasi güzel dokulu falan | Rot L | English)BULLET-2</v>
      </c>
      <c r="BV60" t="str">
        <f t="shared" si="63"/>
        <v>2 Tütün tabakasi güzel dokulu falan | Rot L | English)BULLET-3</v>
      </c>
      <c r="BW60" t="str">
        <f t="shared" si="64"/>
        <v>2 Tütün tabakasi güzel dokulu falan | Rot L | Türkçe)</v>
      </c>
      <c r="BX60" s="11" t="s">
        <v>466</v>
      </c>
      <c r="BY60" t="str">
        <f t="shared" si="65"/>
        <v>2 Tütün tabakasi güzel dokulu falan | Rot L | Türkçe)BULLET-1</v>
      </c>
      <c r="BZ60" t="str">
        <f t="shared" si="66"/>
        <v>2 Tütün tabakasi güzel dokulu falan | Rot L | Türkçe)BULLET-2</v>
      </c>
      <c r="CA60" t="str">
        <f t="shared" si="67"/>
        <v>2 Tütün tabakasi güzel dokulu falan | Rot L | Türkçe)BULLET-3</v>
      </c>
      <c r="CB60" t="str">
        <f t="shared" si="68"/>
        <v>2 Tütün tabakasi güzel dokulu falan | Rot L | Français)</v>
      </c>
      <c r="CC60" s="11" t="s">
        <v>467</v>
      </c>
      <c r="CD60" t="str">
        <f t="shared" si="69"/>
        <v>2 Tütün tabakasi güzel dokulu falan | Rot L | Français)BULLET-1</v>
      </c>
      <c r="CE60" t="str">
        <f t="shared" si="70"/>
        <v>2 Tütün tabakasi güzel dokulu falan | Rot L | Français)BULLET-2</v>
      </c>
      <c r="CF60" t="str">
        <f t="shared" si="71"/>
        <v>2 Tütün tabakasi güzel dokulu falan | Rot L | Français)BULLET-3</v>
      </c>
      <c r="CG60" t="str">
        <f t="shared" si="72"/>
        <v>2 Tütün tabakasi güzel dokulu falan | Rot L | Italiano)</v>
      </c>
      <c r="CH60" s="11" t="s">
        <v>468</v>
      </c>
      <c r="CI60" t="str">
        <f t="shared" si="73"/>
        <v>2 Tütün tabakasi güzel dokulu falan | Rot L | Italiano)BULLET-1</v>
      </c>
      <c r="CJ60" t="str">
        <f t="shared" si="74"/>
        <v>2 Tütün tabakasi güzel dokulu falan | Rot L | Italiano)BULLET-2</v>
      </c>
      <c r="CK60" t="str">
        <f t="shared" si="75"/>
        <v>2 Tütün tabakasi güzel dokulu falan | Rot L | Italiano)BULLET-3</v>
      </c>
      <c r="CL60" t="str">
        <f t="shared" si="76"/>
        <v>2 Tütün tabakasi güzel dokulu falan | Rot L | Español)</v>
      </c>
      <c r="CM60" s="11" t="s">
        <v>469</v>
      </c>
      <c r="CN60" t="str">
        <f t="shared" si="77"/>
        <v>2 Tütün tabakasi güzel dokulu falan | Rot L | Español)BULLET-1</v>
      </c>
      <c r="CO60" t="str">
        <f t="shared" si="78"/>
        <v>2 Tütün tabakasi güzel dokulu falan | Rot L | Español)BULLET-2</v>
      </c>
      <c r="CP60" t="str">
        <f t="shared" si="79"/>
        <v>2 Tütün tabakasi güzel dokulu falan | Rot L | Español)BULLET-3</v>
      </c>
      <c r="CQ60">
        <v>10</v>
      </c>
      <c r="CT60">
        <v>12</v>
      </c>
      <c r="CW60">
        <v>12</v>
      </c>
      <c r="CZ60">
        <v>14</v>
      </c>
      <c r="DC60">
        <v>16</v>
      </c>
      <c r="DF60">
        <v>18</v>
      </c>
      <c r="DI60">
        <f t="shared" si="80"/>
        <v>596</v>
      </c>
      <c r="DO60" t="str">
        <f t="shared" si="81"/>
        <v>2SEO1 Tütün tabakasi güzel dokulu falan | Rot L</v>
      </c>
      <c r="DP60" t="str">
        <f t="shared" si="25"/>
        <v>2SEO1 Tütün tabakasi güzel dokulu falan | Rot L DESCRIPTION</v>
      </c>
      <c r="DQ60" t="str">
        <f t="shared" si="26"/>
        <v>2SEO1 Tütün tabakasi güzel dokulu falan | Rot L KEYWORD</v>
      </c>
    </row>
    <row r="61" spans="1:121" ht="15" customHeight="1" x14ac:dyDescent="0.25">
      <c r="A61" t="s">
        <v>236</v>
      </c>
      <c r="B61" t="s">
        <v>340</v>
      </c>
      <c r="C61" t="s">
        <v>284</v>
      </c>
      <c r="D61" t="s">
        <v>228</v>
      </c>
      <c r="E61" s="9" t="s">
        <v>409</v>
      </c>
      <c r="F61">
        <v>50</v>
      </c>
      <c r="K61">
        <f t="shared" si="82"/>
        <v>105</v>
      </c>
      <c r="L61">
        <v>12</v>
      </c>
      <c r="M61">
        <v>3</v>
      </c>
      <c r="N61">
        <v>8</v>
      </c>
      <c r="O61" s="10" t="s">
        <v>441</v>
      </c>
      <c r="P61" s="10" t="s">
        <v>432</v>
      </c>
      <c r="T61" s="10" t="s">
        <v>441</v>
      </c>
      <c r="V61" t="s">
        <v>275</v>
      </c>
      <c r="X61" t="s">
        <v>269</v>
      </c>
      <c r="AG61" t="s">
        <v>266</v>
      </c>
      <c r="AH61">
        <v>200</v>
      </c>
      <c r="AI61" t="s">
        <v>456</v>
      </c>
      <c r="AJ61" t="s">
        <v>457</v>
      </c>
      <c r="AK61" t="s">
        <v>458</v>
      </c>
      <c r="AL61" t="s">
        <v>459</v>
      </c>
      <c r="AM61" t="s">
        <v>460</v>
      </c>
      <c r="AN61" t="s">
        <v>461</v>
      </c>
      <c r="AO61" t="s">
        <v>462</v>
      </c>
      <c r="AP61" t="s">
        <v>463</v>
      </c>
      <c r="BM61" t="str">
        <f t="shared" si="56"/>
        <v>2 Tütün tabakasi güzel dokulu falan | Schwarz L | Deutsch)</v>
      </c>
      <c r="BN61" s="11" t="s">
        <v>464</v>
      </c>
      <c r="BO61" t="str">
        <f t="shared" si="57"/>
        <v>2 Tütün tabakasi güzel dokulu falan | Schwarz L | Deutsch)BULLET-1</v>
      </c>
      <c r="BP61" t="str">
        <f t="shared" si="58"/>
        <v>2 Tütün tabakasi güzel dokulu falan | Schwarz L | Deutsch)BULLET-2</v>
      </c>
      <c r="BQ61" t="str">
        <f t="shared" si="59"/>
        <v>2 Tütün tabakasi güzel dokulu falan | Schwarz L | Deutsch)BULLET-3</v>
      </c>
      <c r="BR61" t="str">
        <f t="shared" si="60"/>
        <v>2 Tütün tabakasi güzel dokulu falan | Schwarz L | English)</v>
      </c>
      <c r="BS61" s="11" t="s">
        <v>465</v>
      </c>
      <c r="BT61" t="str">
        <f t="shared" si="61"/>
        <v>2 Tütün tabakasi güzel dokulu falan | Schwarz L | English)BULLET-1</v>
      </c>
      <c r="BU61" t="str">
        <f t="shared" si="62"/>
        <v>2 Tütün tabakasi güzel dokulu falan | Schwarz L | English)BULLET-2</v>
      </c>
      <c r="BV61" t="str">
        <f t="shared" si="63"/>
        <v>2 Tütün tabakasi güzel dokulu falan | Schwarz L | English)BULLET-3</v>
      </c>
      <c r="BW61" t="str">
        <f t="shared" si="64"/>
        <v>2 Tütün tabakasi güzel dokulu falan | Schwarz L | Türkçe)</v>
      </c>
      <c r="BX61" s="11" t="s">
        <v>466</v>
      </c>
      <c r="BY61" t="str">
        <f t="shared" si="65"/>
        <v>2 Tütün tabakasi güzel dokulu falan | Schwarz L | Türkçe)BULLET-1</v>
      </c>
      <c r="BZ61" t="str">
        <f t="shared" si="66"/>
        <v>2 Tütün tabakasi güzel dokulu falan | Schwarz L | Türkçe)BULLET-2</v>
      </c>
      <c r="CA61" t="str">
        <f t="shared" si="67"/>
        <v>2 Tütün tabakasi güzel dokulu falan | Schwarz L | Türkçe)BULLET-3</v>
      </c>
      <c r="CB61" t="str">
        <f t="shared" si="68"/>
        <v>2 Tütün tabakasi güzel dokulu falan | Schwarz L | Français)</v>
      </c>
      <c r="CC61" s="11" t="s">
        <v>467</v>
      </c>
      <c r="CD61" t="str">
        <f t="shared" si="69"/>
        <v>2 Tütün tabakasi güzel dokulu falan | Schwarz L | Français)BULLET-1</v>
      </c>
      <c r="CE61" t="str">
        <f t="shared" si="70"/>
        <v>2 Tütün tabakasi güzel dokulu falan | Schwarz L | Français)BULLET-2</v>
      </c>
      <c r="CF61" t="str">
        <f t="shared" si="71"/>
        <v>2 Tütün tabakasi güzel dokulu falan | Schwarz L | Français)BULLET-3</v>
      </c>
      <c r="CG61" t="str">
        <f t="shared" si="72"/>
        <v>2 Tütün tabakasi güzel dokulu falan | Schwarz L | Italiano)</v>
      </c>
      <c r="CH61" s="11" t="s">
        <v>468</v>
      </c>
      <c r="CI61" t="str">
        <f t="shared" si="73"/>
        <v>2 Tütün tabakasi güzel dokulu falan | Schwarz L | Italiano)BULLET-1</v>
      </c>
      <c r="CJ61" t="str">
        <f t="shared" si="74"/>
        <v>2 Tütün tabakasi güzel dokulu falan | Schwarz L | Italiano)BULLET-2</v>
      </c>
      <c r="CK61" t="str">
        <f t="shared" si="75"/>
        <v>2 Tütün tabakasi güzel dokulu falan | Schwarz L | Italiano)BULLET-3</v>
      </c>
      <c r="CL61" t="str">
        <f t="shared" si="76"/>
        <v>2 Tütün tabakasi güzel dokulu falan | Schwarz L | Español)</v>
      </c>
      <c r="CM61" s="11" t="s">
        <v>469</v>
      </c>
      <c r="CN61" t="str">
        <f t="shared" si="77"/>
        <v>2 Tütün tabakasi güzel dokulu falan | Schwarz L | Español)BULLET-1</v>
      </c>
      <c r="CO61" t="str">
        <f t="shared" si="78"/>
        <v>2 Tütün tabakasi güzel dokulu falan | Schwarz L | Español)BULLET-2</v>
      </c>
      <c r="CP61" t="str">
        <f t="shared" si="79"/>
        <v>2 Tütün tabakasi güzel dokulu falan | Schwarz L | Español)BULLET-3</v>
      </c>
      <c r="CQ61">
        <v>10</v>
      </c>
      <c r="CT61">
        <v>12</v>
      </c>
      <c r="CW61">
        <v>12</v>
      </c>
      <c r="CZ61">
        <v>14</v>
      </c>
      <c r="DC61">
        <v>16</v>
      </c>
      <c r="DF61">
        <v>18</v>
      </c>
      <c r="DI61">
        <f t="shared" si="80"/>
        <v>595</v>
      </c>
      <c r="DO61" t="str">
        <f t="shared" si="81"/>
        <v>2SEO1 Tütün tabakasi güzel dokulu falan | Schwarz L</v>
      </c>
      <c r="DP61" t="str">
        <f t="shared" si="25"/>
        <v>2SEO1 Tütün tabakasi güzel dokulu falan | Schwarz L DESCRIPTION</v>
      </c>
      <c r="DQ61" t="str">
        <f t="shared" si="26"/>
        <v>2SEO1 Tütün tabakasi güzel dokulu falan | Schwarz L KEYWORD</v>
      </c>
    </row>
    <row r="62" spans="1:121" ht="15" customHeight="1" x14ac:dyDescent="0.25">
      <c r="A62" t="s">
        <v>236</v>
      </c>
      <c r="B62" t="s">
        <v>341</v>
      </c>
      <c r="C62" t="s">
        <v>284</v>
      </c>
      <c r="D62" t="s">
        <v>228</v>
      </c>
      <c r="E62" s="9" t="s">
        <v>410</v>
      </c>
      <c r="F62">
        <v>50</v>
      </c>
      <c r="K62">
        <f t="shared" si="82"/>
        <v>106</v>
      </c>
      <c r="L62">
        <v>12</v>
      </c>
      <c r="M62">
        <v>3</v>
      </c>
      <c r="N62">
        <v>8</v>
      </c>
      <c r="O62" s="10" t="s">
        <v>442</v>
      </c>
      <c r="P62" s="10" t="s">
        <v>432</v>
      </c>
      <c r="T62" s="10" t="s">
        <v>442</v>
      </c>
      <c r="V62" t="s">
        <v>276</v>
      </c>
      <c r="X62" t="s">
        <v>269</v>
      </c>
      <c r="AG62" t="s">
        <v>266</v>
      </c>
      <c r="AH62">
        <v>200</v>
      </c>
      <c r="AI62" t="s">
        <v>456</v>
      </c>
      <c r="AJ62" t="s">
        <v>457</v>
      </c>
      <c r="AK62" t="s">
        <v>458</v>
      </c>
      <c r="AL62" t="s">
        <v>459</v>
      </c>
      <c r="AM62" t="s">
        <v>460</v>
      </c>
      <c r="AN62" t="s">
        <v>461</v>
      </c>
      <c r="AO62" t="s">
        <v>462</v>
      </c>
      <c r="AP62" t="s">
        <v>463</v>
      </c>
      <c r="BM62" t="str">
        <f t="shared" si="56"/>
        <v>2 Tütün tabakasi güzel dokulu falan | Weiß L | Deutsch)</v>
      </c>
      <c r="BN62" s="11" t="s">
        <v>464</v>
      </c>
      <c r="BO62" t="str">
        <f t="shared" si="57"/>
        <v>2 Tütün tabakasi güzel dokulu falan | Weiß L | Deutsch)BULLET-1</v>
      </c>
      <c r="BP62" t="str">
        <f t="shared" si="58"/>
        <v>2 Tütün tabakasi güzel dokulu falan | Weiß L | Deutsch)BULLET-2</v>
      </c>
      <c r="BQ62" t="str">
        <f t="shared" si="59"/>
        <v>2 Tütün tabakasi güzel dokulu falan | Weiß L | Deutsch)BULLET-3</v>
      </c>
      <c r="BR62" t="str">
        <f t="shared" si="60"/>
        <v>2 Tütün tabakasi güzel dokulu falan | Weiß L | English)</v>
      </c>
      <c r="BS62" s="11" t="s">
        <v>465</v>
      </c>
      <c r="BT62" t="str">
        <f t="shared" si="61"/>
        <v>2 Tütün tabakasi güzel dokulu falan | Weiß L | English)BULLET-1</v>
      </c>
      <c r="BU62" t="str">
        <f t="shared" si="62"/>
        <v>2 Tütün tabakasi güzel dokulu falan | Weiß L | English)BULLET-2</v>
      </c>
      <c r="BV62" t="str">
        <f t="shared" si="63"/>
        <v>2 Tütün tabakasi güzel dokulu falan | Weiß L | English)BULLET-3</v>
      </c>
      <c r="BW62" t="str">
        <f t="shared" si="64"/>
        <v>2 Tütün tabakasi güzel dokulu falan | Weiß L | Türkçe)</v>
      </c>
      <c r="BX62" s="11" t="s">
        <v>466</v>
      </c>
      <c r="BY62" t="str">
        <f t="shared" si="65"/>
        <v>2 Tütün tabakasi güzel dokulu falan | Weiß L | Türkçe)BULLET-1</v>
      </c>
      <c r="BZ62" t="str">
        <f t="shared" si="66"/>
        <v>2 Tütün tabakasi güzel dokulu falan | Weiß L | Türkçe)BULLET-2</v>
      </c>
      <c r="CA62" t="str">
        <f t="shared" si="67"/>
        <v>2 Tütün tabakasi güzel dokulu falan | Weiß L | Türkçe)BULLET-3</v>
      </c>
      <c r="CB62" t="str">
        <f t="shared" si="68"/>
        <v>2 Tütün tabakasi güzel dokulu falan | Weiß L | Français)</v>
      </c>
      <c r="CC62" s="11" t="s">
        <v>467</v>
      </c>
      <c r="CD62" t="str">
        <f t="shared" si="69"/>
        <v>2 Tütün tabakasi güzel dokulu falan | Weiß L | Français)BULLET-1</v>
      </c>
      <c r="CE62" t="str">
        <f t="shared" si="70"/>
        <v>2 Tütün tabakasi güzel dokulu falan | Weiß L | Français)BULLET-2</v>
      </c>
      <c r="CF62" t="str">
        <f t="shared" si="71"/>
        <v>2 Tütün tabakasi güzel dokulu falan | Weiß L | Français)BULLET-3</v>
      </c>
      <c r="CG62" t="str">
        <f t="shared" si="72"/>
        <v>2 Tütün tabakasi güzel dokulu falan | Weiß L | Italiano)</v>
      </c>
      <c r="CH62" s="11" t="s">
        <v>468</v>
      </c>
      <c r="CI62" t="str">
        <f t="shared" si="73"/>
        <v>2 Tütün tabakasi güzel dokulu falan | Weiß L | Italiano)BULLET-1</v>
      </c>
      <c r="CJ62" t="str">
        <f t="shared" si="74"/>
        <v>2 Tütün tabakasi güzel dokulu falan | Weiß L | Italiano)BULLET-2</v>
      </c>
      <c r="CK62" t="str">
        <f t="shared" si="75"/>
        <v>2 Tütün tabakasi güzel dokulu falan | Weiß L | Italiano)BULLET-3</v>
      </c>
      <c r="CL62" t="str">
        <f t="shared" si="76"/>
        <v>2 Tütün tabakasi güzel dokulu falan | Weiß L | Español)</v>
      </c>
      <c r="CM62" s="11" t="s">
        <v>469</v>
      </c>
      <c r="CN62" t="str">
        <f t="shared" si="77"/>
        <v>2 Tütün tabakasi güzel dokulu falan | Weiß L | Español)BULLET-1</v>
      </c>
      <c r="CO62" t="str">
        <f t="shared" si="78"/>
        <v>2 Tütün tabakasi güzel dokulu falan | Weiß L | Español)BULLET-2</v>
      </c>
      <c r="CP62" t="str">
        <f t="shared" si="79"/>
        <v>2 Tütün tabakasi güzel dokulu falan | Weiß L | Español)BULLET-3</v>
      </c>
      <c r="CQ62">
        <v>10</v>
      </c>
      <c r="CT62">
        <v>12</v>
      </c>
      <c r="CW62">
        <v>12</v>
      </c>
      <c r="CZ62">
        <v>14</v>
      </c>
      <c r="DC62">
        <v>16</v>
      </c>
      <c r="DF62">
        <v>18</v>
      </c>
      <c r="DI62">
        <f t="shared" si="80"/>
        <v>594</v>
      </c>
      <c r="DO62" t="str">
        <f t="shared" si="81"/>
        <v>2SEO1 Tütün tabakasi güzel dokulu falan | Weiß L</v>
      </c>
      <c r="DP62" t="str">
        <f t="shared" si="25"/>
        <v>2SEO1 Tütün tabakasi güzel dokulu falan | Weiß L DESCRIPTION</v>
      </c>
      <c r="DQ62" t="str">
        <f t="shared" si="26"/>
        <v>2SEO1 Tütün tabakasi güzel dokulu falan | Weiß L KEYWORD</v>
      </c>
    </row>
    <row r="63" spans="1:121" ht="15" customHeight="1" x14ac:dyDescent="0.25">
      <c r="A63" t="s">
        <v>236</v>
      </c>
      <c r="B63" t="s">
        <v>342</v>
      </c>
      <c r="C63" t="s">
        <v>284</v>
      </c>
      <c r="D63" t="s">
        <v>228</v>
      </c>
      <c r="E63" s="9" t="s">
        <v>411</v>
      </c>
      <c r="F63">
        <v>50</v>
      </c>
      <c r="K63">
        <f t="shared" si="82"/>
        <v>107</v>
      </c>
      <c r="L63">
        <v>12</v>
      </c>
      <c r="M63">
        <v>3</v>
      </c>
      <c r="N63">
        <v>8</v>
      </c>
      <c r="O63" s="10" t="s">
        <v>443</v>
      </c>
      <c r="P63" s="10" t="s">
        <v>432</v>
      </c>
      <c r="T63" s="10" t="s">
        <v>443</v>
      </c>
      <c r="V63" t="s">
        <v>277</v>
      </c>
      <c r="X63" t="s">
        <v>269</v>
      </c>
      <c r="AG63" t="s">
        <v>266</v>
      </c>
      <c r="AH63">
        <v>200</v>
      </c>
      <c r="AI63" t="s">
        <v>456</v>
      </c>
      <c r="AJ63" t="s">
        <v>457</v>
      </c>
      <c r="AK63" t="s">
        <v>458</v>
      </c>
      <c r="AL63" t="s">
        <v>459</v>
      </c>
      <c r="AM63" t="s">
        <v>460</v>
      </c>
      <c r="AN63" t="s">
        <v>461</v>
      </c>
      <c r="AO63" t="s">
        <v>462</v>
      </c>
      <c r="AP63" t="s">
        <v>463</v>
      </c>
      <c r="BM63" t="str">
        <f t="shared" si="56"/>
        <v>2 Tütün tabakasi güzel dokulu falan | Grün L | Deutsch)</v>
      </c>
      <c r="BN63" s="11" t="s">
        <v>464</v>
      </c>
      <c r="BO63" t="str">
        <f t="shared" si="57"/>
        <v>2 Tütün tabakasi güzel dokulu falan | Grün L | Deutsch)BULLET-1</v>
      </c>
      <c r="BP63" t="str">
        <f t="shared" si="58"/>
        <v>2 Tütün tabakasi güzel dokulu falan | Grün L | Deutsch)BULLET-2</v>
      </c>
      <c r="BQ63" t="str">
        <f t="shared" si="59"/>
        <v>2 Tütün tabakasi güzel dokulu falan | Grün L | Deutsch)BULLET-3</v>
      </c>
      <c r="BR63" t="str">
        <f t="shared" si="60"/>
        <v>2 Tütün tabakasi güzel dokulu falan | Grün L | English)</v>
      </c>
      <c r="BS63" s="11" t="s">
        <v>465</v>
      </c>
      <c r="BT63" t="str">
        <f t="shared" si="61"/>
        <v>2 Tütün tabakasi güzel dokulu falan | Grün L | English)BULLET-1</v>
      </c>
      <c r="BU63" t="str">
        <f t="shared" si="62"/>
        <v>2 Tütün tabakasi güzel dokulu falan | Grün L | English)BULLET-2</v>
      </c>
      <c r="BV63" t="str">
        <f t="shared" si="63"/>
        <v>2 Tütün tabakasi güzel dokulu falan | Grün L | English)BULLET-3</v>
      </c>
      <c r="BW63" t="str">
        <f t="shared" si="64"/>
        <v>2 Tütün tabakasi güzel dokulu falan | Grün L | Türkçe)</v>
      </c>
      <c r="BX63" s="11" t="s">
        <v>466</v>
      </c>
      <c r="BY63" t="str">
        <f t="shared" si="65"/>
        <v>2 Tütün tabakasi güzel dokulu falan | Grün L | Türkçe)BULLET-1</v>
      </c>
      <c r="BZ63" t="str">
        <f t="shared" si="66"/>
        <v>2 Tütün tabakasi güzel dokulu falan | Grün L | Türkçe)BULLET-2</v>
      </c>
      <c r="CA63" t="str">
        <f t="shared" si="67"/>
        <v>2 Tütün tabakasi güzel dokulu falan | Grün L | Türkçe)BULLET-3</v>
      </c>
      <c r="CB63" t="str">
        <f t="shared" si="68"/>
        <v>2 Tütün tabakasi güzel dokulu falan | Grün L | Français)</v>
      </c>
      <c r="CC63" s="11" t="s">
        <v>467</v>
      </c>
      <c r="CD63" t="str">
        <f t="shared" si="69"/>
        <v>2 Tütün tabakasi güzel dokulu falan | Grün L | Français)BULLET-1</v>
      </c>
      <c r="CE63" t="str">
        <f t="shared" si="70"/>
        <v>2 Tütün tabakasi güzel dokulu falan | Grün L | Français)BULLET-2</v>
      </c>
      <c r="CF63" t="str">
        <f t="shared" si="71"/>
        <v>2 Tütün tabakasi güzel dokulu falan | Grün L | Français)BULLET-3</v>
      </c>
      <c r="CG63" t="str">
        <f t="shared" si="72"/>
        <v>2 Tütün tabakasi güzel dokulu falan | Grün L | Italiano)</v>
      </c>
      <c r="CH63" s="11" t="s">
        <v>468</v>
      </c>
      <c r="CI63" t="str">
        <f t="shared" si="73"/>
        <v>2 Tütün tabakasi güzel dokulu falan | Grün L | Italiano)BULLET-1</v>
      </c>
      <c r="CJ63" t="str">
        <f t="shared" si="74"/>
        <v>2 Tütün tabakasi güzel dokulu falan | Grün L | Italiano)BULLET-2</v>
      </c>
      <c r="CK63" t="str">
        <f t="shared" si="75"/>
        <v>2 Tütün tabakasi güzel dokulu falan | Grün L | Italiano)BULLET-3</v>
      </c>
      <c r="CL63" t="str">
        <f t="shared" si="76"/>
        <v>2 Tütün tabakasi güzel dokulu falan | Grün L | Español)</v>
      </c>
      <c r="CM63" s="11" t="s">
        <v>469</v>
      </c>
      <c r="CN63" t="str">
        <f t="shared" si="77"/>
        <v>2 Tütün tabakasi güzel dokulu falan | Grün L | Español)BULLET-1</v>
      </c>
      <c r="CO63" t="str">
        <f t="shared" si="78"/>
        <v>2 Tütün tabakasi güzel dokulu falan | Grün L | Español)BULLET-2</v>
      </c>
      <c r="CP63" t="str">
        <f t="shared" si="79"/>
        <v>2 Tütün tabakasi güzel dokulu falan | Grün L | Español)BULLET-3</v>
      </c>
      <c r="CQ63">
        <v>10</v>
      </c>
      <c r="CT63">
        <v>12</v>
      </c>
      <c r="CW63">
        <v>12</v>
      </c>
      <c r="CZ63">
        <v>14</v>
      </c>
      <c r="DC63">
        <v>16</v>
      </c>
      <c r="DF63">
        <v>18</v>
      </c>
      <c r="DI63">
        <f t="shared" si="80"/>
        <v>593</v>
      </c>
      <c r="DO63" t="str">
        <f t="shared" si="81"/>
        <v>2SEO1 Tütün tabakasi güzel dokulu falan | Grün L</v>
      </c>
      <c r="DP63" t="str">
        <f t="shared" si="25"/>
        <v>2SEO1 Tütün tabakasi güzel dokulu falan | Grün L DESCRIPTION</v>
      </c>
      <c r="DQ63" t="str">
        <f t="shared" si="26"/>
        <v>2SEO1 Tütün tabakasi güzel dokulu falan | Grün L KEYWORD</v>
      </c>
    </row>
    <row r="64" spans="1:121" ht="15" customHeight="1" x14ac:dyDescent="0.25">
      <c r="A64" t="s">
        <v>236</v>
      </c>
      <c r="B64" t="s">
        <v>343</v>
      </c>
      <c r="C64" t="s">
        <v>284</v>
      </c>
      <c r="D64" t="s">
        <v>228</v>
      </c>
      <c r="E64" s="9" t="s">
        <v>412</v>
      </c>
      <c r="F64">
        <v>50</v>
      </c>
      <c r="K64">
        <f t="shared" si="82"/>
        <v>108</v>
      </c>
      <c r="L64">
        <v>12</v>
      </c>
      <c r="M64">
        <v>3</v>
      </c>
      <c r="N64">
        <v>8</v>
      </c>
      <c r="O64" s="10" t="s">
        <v>444</v>
      </c>
      <c r="P64" s="10" t="s">
        <v>432</v>
      </c>
      <c r="T64" s="10" t="s">
        <v>444</v>
      </c>
      <c r="V64" t="s">
        <v>278</v>
      </c>
      <c r="X64" t="s">
        <v>269</v>
      </c>
      <c r="AG64" t="s">
        <v>266</v>
      </c>
      <c r="AH64">
        <v>200</v>
      </c>
      <c r="AI64" t="s">
        <v>456</v>
      </c>
      <c r="AJ64" t="s">
        <v>457</v>
      </c>
      <c r="AK64" t="s">
        <v>458</v>
      </c>
      <c r="AL64" t="s">
        <v>459</v>
      </c>
      <c r="AM64" t="s">
        <v>460</v>
      </c>
      <c r="AN64" t="s">
        <v>461</v>
      </c>
      <c r="AO64" t="s">
        <v>462</v>
      </c>
      <c r="AP64" t="s">
        <v>463</v>
      </c>
      <c r="BM64" t="str">
        <f t="shared" si="56"/>
        <v>2 Tütün tabakasi güzel dokulu falan | Blau L | Deutsch)</v>
      </c>
      <c r="BN64" s="11" t="s">
        <v>464</v>
      </c>
      <c r="BO64" t="str">
        <f t="shared" si="57"/>
        <v>2 Tütün tabakasi güzel dokulu falan | Blau L | Deutsch)BULLET-1</v>
      </c>
      <c r="BP64" t="str">
        <f t="shared" si="58"/>
        <v>2 Tütün tabakasi güzel dokulu falan | Blau L | Deutsch)BULLET-2</v>
      </c>
      <c r="BQ64" t="str">
        <f t="shared" si="59"/>
        <v>2 Tütün tabakasi güzel dokulu falan | Blau L | Deutsch)BULLET-3</v>
      </c>
      <c r="BR64" t="str">
        <f t="shared" si="60"/>
        <v>2 Tütün tabakasi güzel dokulu falan | Blau L | English)</v>
      </c>
      <c r="BS64" s="11" t="s">
        <v>465</v>
      </c>
      <c r="BT64" t="str">
        <f t="shared" si="61"/>
        <v>2 Tütün tabakasi güzel dokulu falan | Blau L | English)BULLET-1</v>
      </c>
      <c r="BU64" t="str">
        <f t="shared" si="62"/>
        <v>2 Tütün tabakasi güzel dokulu falan | Blau L | English)BULLET-2</v>
      </c>
      <c r="BV64" t="str">
        <f t="shared" si="63"/>
        <v>2 Tütün tabakasi güzel dokulu falan | Blau L | English)BULLET-3</v>
      </c>
      <c r="BW64" t="str">
        <f t="shared" si="64"/>
        <v>2 Tütün tabakasi güzel dokulu falan | Blau L | Türkçe)</v>
      </c>
      <c r="BX64" s="11" t="s">
        <v>466</v>
      </c>
      <c r="BY64" t="str">
        <f t="shared" si="65"/>
        <v>2 Tütün tabakasi güzel dokulu falan | Blau L | Türkçe)BULLET-1</v>
      </c>
      <c r="BZ64" t="str">
        <f t="shared" si="66"/>
        <v>2 Tütün tabakasi güzel dokulu falan | Blau L | Türkçe)BULLET-2</v>
      </c>
      <c r="CA64" t="str">
        <f t="shared" si="67"/>
        <v>2 Tütün tabakasi güzel dokulu falan | Blau L | Türkçe)BULLET-3</v>
      </c>
      <c r="CB64" t="str">
        <f t="shared" si="68"/>
        <v>2 Tütün tabakasi güzel dokulu falan | Blau L | Français)</v>
      </c>
      <c r="CC64" s="11" t="s">
        <v>467</v>
      </c>
      <c r="CD64" t="str">
        <f t="shared" si="69"/>
        <v>2 Tütün tabakasi güzel dokulu falan | Blau L | Français)BULLET-1</v>
      </c>
      <c r="CE64" t="str">
        <f t="shared" si="70"/>
        <v>2 Tütün tabakasi güzel dokulu falan | Blau L | Français)BULLET-2</v>
      </c>
      <c r="CF64" t="str">
        <f t="shared" si="71"/>
        <v>2 Tütün tabakasi güzel dokulu falan | Blau L | Français)BULLET-3</v>
      </c>
      <c r="CG64" t="str">
        <f t="shared" si="72"/>
        <v>2 Tütün tabakasi güzel dokulu falan | Blau L | Italiano)</v>
      </c>
      <c r="CH64" s="11" t="s">
        <v>468</v>
      </c>
      <c r="CI64" t="str">
        <f t="shared" si="73"/>
        <v>2 Tütün tabakasi güzel dokulu falan | Blau L | Italiano)BULLET-1</v>
      </c>
      <c r="CJ64" t="str">
        <f t="shared" si="74"/>
        <v>2 Tütün tabakasi güzel dokulu falan | Blau L | Italiano)BULLET-2</v>
      </c>
      <c r="CK64" t="str">
        <f t="shared" si="75"/>
        <v>2 Tütün tabakasi güzel dokulu falan | Blau L | Italiano)BULLET-3</v>
      </c>
      <c r="CL64" t="str">
        <f t="shared" si="76"/>
        <v>2 Tütün tabakasi güzel dokulu falan | Blau L | Español)</v>
      </c>
      <c r="CM64" s="11" t="s">
        <v>469</v>
      </c>
      <c r="CN64" t="str">
        <f t="shared" si="77"/>
        <v>2 Tütün tabakasi güzel dokulu falan | Blau L | Español)BULLET-1</v>
      </c>
      <c r="CO64" t="str">
        <f t="shared" si="78"/>
        <v>2 Tütün tabakasi güzel dokulu falan | Blau L | Español)BULLET-2</v>
      </c>
      <c r="CP64" t="str">
        <f t="shared" si="79"/>
        <v>2 Tütün tabakasi güzel dokulu falan | Blau L | Español)BULLET-3</v>
      </c>
      <c r="CQ64">
        <v>10</v>
      </c>
      <c r="CT64">
        <v>12</v>
      </c>
      <c r="CW64">
        <v>12</v>
      </c>
      <c r="CZ64">
        <v>14</v>
      </c>
      <c r="DC64">
        <v>16</v>
      </c>
      <c r="DF64">
        <v>18</v>
      </c>
      <c r="DI64">
        <f t="shared" si="80"/>
        <v>592</v>
      </c>
      <c r="DO64" t="str">
        <f t="shared" si="81"/>
        <v>2SEO1 Tütün tabakasi güzel dokulu falan | Blau L</v>
      </c>
      <c r="DP64" t="str">
        <f t="shared" si="25"/>
        <v>2SEO1 Tütün tabakasi güzel dokulu falan | Blau L DESCRIPTION</v>
      </c>
      <c r="DQ64" t="str">
        <f t="shared" si="26"/>
        <v>2SEO1 Tütün tabakasi güzel dokulu falan | Blau L KEYWORD</v>
      </c>
    </row>
    <row r="65" spans="1:121" ht="15" customHeight="1" x14ac:dyDescent="0.25">
      <c r="A65" t="s">
        <v>236</v>
      </c>
      <c r="B65" t="s">
        <v>344</v>
      </c>
      <c r="C65" t="s">
        <v>284</v>
      </c>
      <c r="D65" t="s">
        <v>228</v>
      </c>
      <c r="E65" s="9" t="s">
        <v>413</v>
      </c>
      <c r="F65">
        <v>50</v>
      </c>
      <c r="K65">
        <f t="shared" si="82"/>
        <v>109</v>
      </c>
      <c r="L65">
        <v>12</v>
      </c>
      <c r="M65">
        <v>3</v>
      </c>
      <c r="N65">
        <v>8</v>
      </c>
      <c r="O65" s="10" t="s">
        <v>445</v>
      </c>
      <c r="P65" s="10" t="s">
        <v>432</v>
      </c>
      <c r="T65" s="10" t="s">
        <v>445</v>
      </c>
      <c r="V65" t="s">
        <v>279</v>
      </c>
      <c r="X65" t="s">
        <v>269</v>
      </c>
      <c r="AG65" t="s">
        <v>266</v>
      </c>
      <c r="AH65">
        <v>200</v>
      </c>
      <c r="AI65" t="s">
        <v>456</v>
      </c>
      <c r="AJ65" t="s">
        <v>457</v>
      </c>
      <c r="AK65" t="s">
        <v>458</v>
      </c>
      <c r="AL65" t="s">
        <v>459</v>
      </c>
      <c r="AM65" t="s">
        <v>460</v>
      </c>
      <c r="AN65" t="s">
        <v>461</v>
      </c>
      <c r="AO65" t="s">
        <v>462</v>
      </c>
      <c r="AP65" t="s">
        <v>463</v>
      </c>
      <c r="BM65" t="str">
        <f t="shared" si="56"/>
        <v>2 Tütün tabakasi güzel dokulu falan | Gelb L | Deutsch)</v>
      </c>
      <c r="BN65" s="11" t="s">
        <v>464</v>
      </c>
      <c r="BO65" t="str">
        <f t="shared" si="57"/>
        <v>2 Tütün tabakasi güzel dokulu falan | Gelb L | Deutsch)BULLET-1</v>
      </c>
      <c r="BP65" t="str">
        <f t="shared" si="58"/>
        <v>2 Tütün tabakasi güzel dokulu falan | Gelb L | Deutsch)BULLET-2</v>
      </c>
      <c r="BQ65" t="str">
        <f t="shared" si="59"/>
        <v>2 Tütün tabakasi güzel dokulu falan | Gelb L | Deutsch)BULLET-3</v>
      </c>
      <c r="BR65" t="str">
        <f t="shared" si="60"/>
        <v>2 Tütün tabakasi güzel dokulu falan | Gelb L | English)</v>
      </c>
      <c r="BS65" s="11" t="s">
        <v>465</v>
      </c>
      <c r="BT65" t="str">
        <f t="shared" si="61"/>
        <v>2 Tütün tabakasi güzel dokulu falan | Gelb L | English)BULLET-1</v>
      </c>
      <c r="BU65" t="str">
        <f t="shared" si="62"/>
        <v>2 Tütün tabakasi güzel dokulu falan | Gelb L | English)BULLET-2</v>
      </c>
      <c r="BV65" t="str">
        <f t="shared" si="63"/>
        <v>2 Tütün tabakasi güzel dokulu falan | Gelb L | English)BULLET-3</v>
      </c>
      <c r="BW65" t="str">
        <f t="shared" si="64"/>
        <v>2 Tütün tabakasi güzel dokulu falan | Gelb L | Türkçe)</v>
      </c>
      <c r="BX65" s="11" t="s">
        <v>466</v>
      </c>
      <c r="BY65" t="str">
        <f t="shared" si="65"/>
        <v>2 Tütün tabakasi güzel dokulu falan | Gelb L | Türkçe)BULLET-1</v>
      </c>
      <c r="BZ65" t="str">
        <f t="shared" si="66"/>
        <v>2 Tütün tabakasi güzel dokulu falan | Gelb L | Türkçe)BULLET-2</v>
      </c>
      <c r="CA65" t="str">
        <f t="shared" si="67"/>
        <v>2 Tütün tabakasi güzel dokulu falan | Gelb L | Türkçe)BULLET-3</v>
      </c>
      <c r="CB65" t="str">
        <f t="shared" si="68"/>
        <v>2 Tütün tabakasi güzel dokulu falan | Gelb L | Français)</v>
      </c>
      <c r="CC65" s="11" t="s">
        <v>467</v>
      </c>
      <c r="CD65" t="str">
        <f t="shared" si="69"/>
        <v>2 Tütün tabakasi güzel dokulu falan | Gelb L | Français)BULLET-1</v>
      </c>
      <c r="CE65" t="str">
        <f t="shared" si="70"/>
        <v>2 Tütün tabakasi güzel dokulu falan | Gelb L | Français)BULLET-2</v>
      </c>
      <c r="CF65" t="str">
        <f t="shared" si="71"/>
        <v>2 Tütün tabakasi güzel dokulu falan | Gelb L | Français)BULLET-3</v>
      </c>
      <c r="CG65" t="str">
        <f t="shared" si="72"/>
        <v>2 Tütün tabakasi güzel dokulu falan | Gelb L | Italiano)</v>
      </c>
      <c r="CH65" s="11" t="s">
        <v>468</v>
      </c>
      <c r="CI65" t="str">
        <f t="shared" si="73"/>
        <v>2 Tütün tabakasi güzel dokulu falan | Gelb L | Italiano)BULLET-1</v>
      </c>
      <c r="CJ65" t="str">
        <f t="shared" si="74"/>
        <v>2 Tütün tabakasi güzel dokulu falan | Gelb L | Italiano)BULLET-2</v>
      </c>
      <c r="CK65" t="str">
        <f t="shared" si="75"/>
        <v>2 Tütün tabakasi güzel dokulu falan | Gelb L | Italiano)BULLET-3</v>
      </c>
      <c r="CL65" t="str">
        <f t="shared" si="76"/>
        <v>2 Tütün tabakasi güzel dokulu falan | Gelb L | Español)</v>
      </c>
      <c r="CM65" s="11" t="s">
        <v>469</v>
      </c>
      <c r="CN65" t="str">
        <f t="shared" si="77"/>
        <v>2 Tütün tabakasi güzel dokulu falan | Gelb L | Español)BULLET-1</v>
      </c>
      <c r="CO65" t="str">
        <f t="shared" si="78"/>
        <v>2 Tütün tabakasi güzel dokulu falan | Gelb L | Español)BULLET-2</v>
      </c>
      <c r="CP65" t="str">
        <f t="shared" si="79"/>
        <v>2 Tütün tabakasi güzel dokulu falan | Gelb L | Español)BULLET-3</v>
      </c>
      <c r="CQ65">
        <v>10</v>
      </c>
      <c r="CT65">
        <v>12</v>
      </c>
      <c r="CW65">
        <v>12</v>
      </c>
      <c r="CZ65">
        <v>14</v>
      </c>
      <c r="DC65">
        <v>16</v>
      </c>
      <c r="DF65">
        <v>18</v>
      </c>
      <c r="DI65">
        <f t="shared" si="80"/>
        <v>591</v>
      </c>
      <c r="DO65" t="str">
        <f t="shared" si="81"/>
        <v>2SEO1 Tütün tabakasi güzel dokulu falan | Gelb L</v>
      </c>
      <c r="DP65" t="str">
        <f t="shared" si="25"/>
        <v>2SEO1 Tütün tabakasi güzel dokulu falan | Gelb L DESCRIPTION</v>
      </c>
      <c r="DQ65" t="str">
        <f t="shared" si="26"/>
        <v>2SEO1 Tütün tabakasi güzel dokulu falan | Gelb L KEYWORD</v>
      </c>
    </row>
    <row r="66" spans="1:121" ht="15" customHeight="1" x14ac:dyDescent="0.25">
      <c r="A66" t="s">
        <v>236</v>
      </c>
      <c r="B66" t="s">
        <v>345</v>
      </c>
      <c r="C66" t="s">
        <v>284</v>
      </c>
      <c r="D66" t="s">
        <v>228</v>
      </c>
      <c r="E66" s="9" t="s">
        <v>414</v>
      </c>
      <c r="F66">
        <v>50</v>
      </c>
      <c r="K66">
        <f t="shared" si="82"/>
        <v>110</v>
      </c>
      <c r="L66">
        <v>12</v>
      </c>
      <c r="M66">
        <v>3</v>
      </c>
      <c r="N66">
        <v>8</v>
      </c>
      <c r="O66" s="10" t="s">
        <v>446</v>
      </c>
      <c r="P66" s="10" t="s">
        <v>432</v>
      </c>
      <c r="T66" s="10" t="s">
        <v>446</v>
      </c>
      <c r="V66" t="s">
        <v>280</v>
      </c>
      <c r="X66" t="s">
        <v>269</v>
      </c>
      <c r="AG66" t="s">
        <v>266</v>
      </c>
      <c r="AH66">
        <v>200</v>
      </c>
      <c r="AI66" t="s">
        <v>456</v>
      </c>
      <c r="AJ66" t="s">
        <v>457</v>
      </c>
      <c r="AK66" t="s">
        <v>458</v>
      </c>
      <c r="AL66" t="s">
        <v>459</v>
      </c>
      <c r="AM66" t="s">
        <v>460</v>
      </c>
      <c r="AN66" t="s">
        <v>461</v>
      </c>
      <c r="AO66" t="s">
        <v>462</v>
      </c>
      <c r="AP66" t="s">
        <v>463</v>
      </c>
      <c r="BM66" t="str">
        <f t="shared" si="56"/>
        <v>2 Tütün tabakasi güzel dokulu falan | Lila L | Deutsch)</v>
      </c>
      <c r="BN66" s="11" t="s">
        <v>464</v>
      </c>
      <c r="BO66" t="str">
        <f t="shared" si="57"/>
        <v>2 Tütün tabakasi güzel dokulu falan | Lila L | Deutsch)BULLET-1</v>
      </c>
      <c r="BP66" t="str">
        <f t="shared" si="58"/>
        <v>2 Tütün tabakasi güzel dokulu falan | Lila L | Deutsch)BULLET-2</v>
      </c>
      <c r="BQ66" t="str">
        <f t="shared" si="59"/>
        <v>2 Tütün tabakasi güzel dokulu falan | Lila L | Deutsch)BULLET-3</v>
      </c>
      <c r="BR66" t="str">
        <f t="shared" si="60"/>
        <v>2 Tütün tabakasi güzel dokulu falan | Lila L | English)</v>
      </c>
      <c r="BS66" s="11" t="s">
        <v>465</v>
      </c>
      <c r="BT66" t="str">
        <f t="shared" si="61"/>
        <v>2 Tütün tabakasi güzel dokulu falan | Lila L | English)BULLET-1</v>
      </c>
      <c r="BU66" t="str">
        <f t="shared" si="62"/>
        <v>2 Tütün tabakasi güzel dokulu falan | Lila L | English)BULLET-2</v>
      </c>
      <c r="BV66" t="str">
        <f t="shared" si="63"/>
        <v>2 Tütün tabakasi güzel dokulu falan | Lila L | English)BULLET-3</v>
      </c>
      <c r="BW66" t="str">
        <f t="shared" si="64"/>
        <v>2 Tütün tabakasi güzel dokulu falan | Lila L | Türkçe)</v>
      </c>
      <c r="BX66" s="11" t="s">
        <v>466</v>
      </c>
      <c r="BY66" t="str">
        <f t="shared" si="65"/>
        <v>2 Tütün tabakasi güzel dokulu falan | Lila L | Türkçe)BULLET-1</v>
      </c>
      <c r="BZ66" t="str">
        <f t="shared" si="66"/>
        <v>2 Tütün tabakasi güzel dokulu falan | Lila L | Türkçe)BULLET-2</v>
      </c>
      <c r="CA66" t="str">
        <f t="shared" si="67"/>
        <v>2 Tütün tabakasi güzel dokulu falan | Lila L | Türkçe)BULLET-3</v>
      </c>
      <c r="CB66" t="str">
        <f t="shared" si="68"/>
        <v>2 Tütün tabakasi güzel dokulu falan | Lila L | Français)</v>
      </c>
      <c r="CC66" s="11" t="s">
        <v>467</v>
      </c>
      <c r="CD66" t="str">
        <f t="shared" si="69"/>
        <v>2 Tütün tabakasi güzel dokulu falan | Lila L | Français)BULLET-1</v>
      </c>
      <c r="CE66" t="str">
        <f t="shared" si="70"/>
        <v>2 Tütün tabakasi güzel dokulu falan | Lila L | Français)BULLET-2</v>
      </c>
      <c r="CF66" t="str">
        <f t="shared" si="71"/>
        <v>2 Tütün tabakasi güzel dokulu falan | Lila L | Français)BULLET-3</v>
      </c>
      <c r="CG66" t="str">
        <f t="shared" si="72"/>
        <v>2 Tütün tabakasi güzel dokulu falan | Lila L | Italiano)</v>
      </c>
      <c r="CH66" s="11" t="s">
        <v>468</v>
      </c>
      <c r="CI66" t="str">
        <f t="shared" si="73"/>
        <v>2 Tütün tabakasi güzel dokulu falan | Lila L | Italiano)BULLET-1</v>
      </c>
      <c r="CJ66" t="str">
        <f t="shared" si="74"/>
        <v>2 Tütün tabakasi güzel dokulu falan | Lila L | Italiano)BULLET-2</v>
      </c>
      <c r="CK66" t="str">
        <f t="shared" si="75"/>
        <v>2 Tütün tabakasi güzel dokulu falan | Lila L | Italiano)BULLET-3</v>
      </c>
      <c r="CL66" t="str">
        <f t="shared" si="76"/>
        <v>2 Tütün tabakasi güzel dokulu falan | Lila L | Español)</v>
      </c>
      <c r="CM66" s="11" t="s">
        <v>469</v>
      </c>
      <c r="CN66" t="str">
        <f t="shared" si="77"/>
        <v>2 Tütün tabakasi güzel dokulu falan | Lila L | Español)BULLET-1</v>
      </c>
      <c r="CO66" t="str">
        <f t="shared" si="78"/>
        <v>2 Tütün tabakasi güzel dokulu falan | Lila L | Español)BULLET-2</v>
      </c>
      <c r="CP66" t="str">
        <f t="shared" si="79"/>
        <v>2 Tütün tabakasi güzel dokulu falan | Lila L | Español)BULLET-3</v>
      </c>
      <c r="CQ66">
        <v>10</v>
      </c>
      <c r="CT66">
        <v>12</v>
      </c>
      <c r="CW66">
        <v>12</v>
      </c>
      <c r="CZ66">
        <v>14</v>
      </c>
      <c r="DC66">
        <v>16</v>
      </c>
      <c r="DF66">
        <v>18</v>
      </c>
      <c r="DI66">
        <f t="shared" si="80"/>
        <v>590</v>
      </c>
      <c r="DO66" t="str">
        <f t="shared" si="81"/>
        <v>2SEO1 Tütün tabakasi güzel dokulu falan | Lila L</v>
      </c>
      <c r="DP66" t="str">
        <f t="shared" si="25"/>
        <v>2SEO1 Tütün tabakasi güzel dokulu falan | Lila L DESCRIPTION</v>
      </c>
      <c r="DQ66" t="str">
        <f t="shared" si="26"/>
        <v>2SEO1 Tütün tabakasi güzel dokulu falan | Lila L KEYWORD</v>
      </c>
    </row>
    <row r="67" spans="1:121" ht="15" customHeight="1" x14ac:dyDescent="0.25">
      <c r="A67" t="s">
        <v>236</v>
      </c>
      <c r="B67" t="s">
        <v>346</v>
      </c>
      <c r="C67" t="s">
        <v>284</v>
      </c>
      <c r="D67" t="s">
        <v>228</v>
      </c>
      <c r="E67" s="9" t="s">
        <v>415</v>
      </c>
      <c r="F67">
        <v>50</v>
      </c>
      <c r="K67">
        <f t="shared" si="82"/>
        <v>111</v>
      </c>
      <c r="L67">
        <v>12</v>
      </c>
      <c r="M67">
        <v>3</v>
      </c>
      <c r="N67">
        <v>8</v>
      </c>
      <c r="O67" s="10" t="s">
        <v>447</v>
      </c>
      <c r="P67" s="10" t="s">
        <v>432</v>
      </c>
      <c r="T67" s="10" t="s">
        <v>447</v>
      </c>
      <c r="V67" t="s">
        <v>281</v>
      </c>
      <c r="X67" t="s">
        <v>269</v>
      </c>
      <c r="AG67" t="s">
        <v>266</v>
      </c>
      <c r="AH67">
        <v>200</v>
      </c>
      <c r="AI67" t="s">
        <v>456</v>
      </c>
      <c r="AJ67" t="s">
        <v>457</v>
      </c>
      <c r="AK67" t="s">
        <v>458</v>
      </c>
      <c r="AL67" t="s">
        <v>459</v>
      </c>
      <c r="AM67" t="s">
        <v>460</v>
      </c>
      <c r="AN67" t="s">
        <v>461</v>
      </c>
      <c r="AO67" t="s">
        <v>462</v>
      </c>
      <c r="AP67" t="s">
        <v>463</v>
      </c>
      <c r="BM67" t="str">
        <f t="shared" si="56"/>
        <v>2 Tütün tabakasi güzel dokulu falan | Braun L | Deutsch)</v>
      </c>
      <c r="BN67" s="11" t="s">
        <v>464</v>
      </c>
      <c r="BO67" t="str">
        <f t="shared" si="57"/>
        <v>2 Tütün tabakasi güzel dokulu falan | Braun L | Deutsch)BULLET-1</v>
      </c>
      <c r="BP67" t="str">
        <f t="shared" si="58"/>
        <v>2 Tütün tabakasi güzel dokulu falan | Braun L | Deutsch)BULLET-2</v>
      </c>
      <c r="BQ67" t="str">
        <f t="shared" si="59"/>
        <v>2 Tütün tabakasi güzel dokulu falan | Braun L | Deutsch)BULLET-3</v>
      </c>
      <c r="BR67" t="str">
        <f t="shared" si="60"/>
        <v>2 Tütün tabakasi güzel dokulu falan | Braun L | English)</v>
      </c>
      <c r="BS67" s="11" t="s">
        <v>465</v>
      </c>
      <c r="BT67" t="str">
        <f t="shared" si="61"/>
        <v>2 Tütün tabakasi güzel dokulu falan | Braun L | English)BULLET-1</v>
      </c>
      <c r="BU67" t="str">
        <f t="shared" si="62"/>
        <v>2 Tütün tabakasi güzel dokulu falan | Braun L | English)BULLET-2</v>
      </c>
      <c r="BV67" t="str">
        <f t="shared" si="63"/>
        <v>2 Tütün tabakasi güzel dokulu falan | Braun L | English)BULLET-3</v>
      </c>
      <c r="BW67" t="str">
        <f t="shared" si="64"/>
        <v>2 Tütün tabakasi güzel dokulu falan | Braun L | Türkçe)</v>
      </c>
      <c r="BX67" s="11" t="s">
        <v>466</v>
      </c>
      <c r="BY67" t="str">
        <f t="shared" si="65"/>
        <v>2 Tütün tabakasi güzel dokulu falan | Braun L | Türkçe)BULLET-1</v>
      </c>
      <c r="BZ67" t="str">
        <f t="shared" si="66"/>
        <v>2 Tütün tabakasi güzel dokulu falan | Braun L | Türkçe)BULLET-2</v>
      </c>
      <c r="CA67" t="str">
        <f t="shared" si="67"/>
        <v>2 Tütün tabakasi güzel dokulu falan | Braun L | Türkçe)BULLET-3</v>
      </c>
      <c r="CB67" t="str">
        <f t="shared" si="68"/>
        <v>2 Tütün tabakasi güzel dokulu falan | Braun L | Français)</v>
      </c>
      <c r="CC67" s="11" t="s">
        <v>467</v>
      </c>
      <c r="CD67" t="str">
        <f t="shared" si="69"/>
        <v>2 Tütün tabakasi güzel dokulu falan | Braun L | Français)BULLET-1</v>
      </c>
      <c r="CE67" t="str">
        <f t="shared" si="70"/>
        <v>2 Tütün tabakasi güzel dokulu falan | Braun L | Français)BULLET-2</v>
      </c>
      <c r="CF67" t="str">
        <f t="shared" si="71"/>
        <v>2 Tütün tabakasi güzel dokulu falan | Braun L | Français)BULLET-3</v>
      </c>
      <c r="CG67" t="str">
        <f t="shared" si="72"/>
        <v>2 Tütün tabakasi güzel dokulu falan | Braun L | Italiano)</v>
      </c>
      <c r="CH67" s="11" t="s">
        <v>468</v>
      </c>
      <c r="CI67" t="str">
        <f t="shared" si="73"/>
        <v>2 Tütün tabakasi güzel dokulu falan | Braun L | Italiano)BULLET-1</v>
      </c>
      <c r="CJ67" t="str">
        <f t="shared" si="74"/>
        <v>2 Tütün tabakasi güzel dokulu falan | Braun L | Italiano)BULLET-2</v>
      </c>
      <c r="CK67" t="str">
        <f t="shared" si="75"/>
        <v>2 Tütün tabakasi güzel dokulu falan | Braun L | Italiano)BULLET-3</v>
      </c>
      <c r="CL67" t="str">
        <f t="shared" si="76"/>
        <v>2 Tütün tabakasi güzel dokulu falan | Braun L | Español)</v>
      </c>
      <c r="CM67" s="11" t="s">
        <v>469</v>
      </c>
      <c r="CN67" t="str">
        <f t="shared" si="77"/>
        <v>2 Tütün tabakasi güzel dokulu falan | Braun L | Español)BULLET-1</v>
      </c>
      <c r="CO67" t="str">
        <f t="shared" si="78"/>
        <v>2 Tütün tabakasi güzel dokulu falan | Braun L | Español)BULLET-2</v>
      </c>
      <c r="CP67" t="str">
        <f t="shared" si="79"/>
        <v>2 Tütün tabakasi güzel dokulu falan | Braun L | Español)BULLET-3</v>
      </c>
      <c r="CQ67">
        <v>10</v>
      </c>
      <c r="CT67">
        <v>12</v>
      </c>
      <c r="CW67">
        <v>12</v>
      </c>
      <c r="CZ67">
        <v>14</v>
      </c>
      <c r="DC67">
        <v>16</v>
      </c>
      <c r="DF67">
        <v>18</v>
      </c>
      <c r="DI67">
        <f t="shared" si="80"/>
        <v>589</v>
      </c>
      <c r="DO67" t="str">
        <f t="shared" si="81"/>
        <v>2SEO1 Tütün tabakasi güzel dokulu falan | Braun L</v>
      </c>
      <c r="DP67" t="str">
        <f t="shared" si="25"/>
        <v>2SEO1 Tütün tabakasi güzel dokulu falan | Braun L DESCRIPTION</v>
      </c>
      <c r="DQ67" t="str">
        <f t="shared" si="26"/>
        <v>2SEO1 Tütün tabakasi güzel dokulu falan | Braun L KEYWORD</v>
      </c>
    </row>
    <row r="68" spans="1:121" ht="15" customHeight="1" x14ac:dyDescent="0.25">
      <c r="A68" t="s">
        <v>236</v>
      </c>
      <c r="B68" t="s">
        <v>347</v>
      </c>
      <c r="C68" t="s">
        <v>284</v>
      </c>
      <c r="D68" t="s">
        <v>228</v>
      </c>
      <c r="E68" s="9" t="s">
        <v>416</v>
      </c>
      <c r="F68">
        <v>50</v>
      </c>
      <c r="K68">
        <f t="shared" si="82"/>
        <v>112</v>
      </c>
      <c r="L68">
        <v>12</v>
      </c>
      <c r="M68">
        <v>3</v>
      </c>
      <c r="N68">
        <v>8</v>
      </c>
      <c r="O68" s="10" t="s">
        <v>440</v>
      </c>
      <c r="P68" s="10" t="s">
        <v>432</v>
      </c>
      <c r="T68" s="10" t="s">
        <v>440</v>
      </c>
      <c r="V68" t="s">
        <v>282</v>
      </c>
      <c r="X68" t="s">
        <v>269</v>
      </c>
      <c r="AG68" t="s">
        <v>266</v>
      </c>
      <c r="AH68">
        <v>200</v>
      </c>
      <c r="AI68" t="s">
        <v>456</v>
      </c>
      <c r="AJ68" t="s">
        <v>457</v>
      </c>
      <c r="AK68" t="s">
        <v>458</v>
      </c>
      <c r="AL68" t="s">
        <v>459</v>
      </c>
      <c r="AM68" t="s">
        <v>460</v>
      </c>
      <c r="AN68" t="s">
        <v>461</v>
      </c>
      <c r="AO68" t="s">
        <v>462</v>
      </c>
      <c r="AP68" t="s">
        <v>463</v>
      </c>
      <c r="BM68" t="str">
        <f t="shared" si="56"/>
        <v>2 Tütün tabakasi güzel dokulu falan | Rosa L | Deutsch)</v>
      </c>
      <c r="BN68" s="11" t="s">
        <v>464</v>
      </c>
      <c r="BO68" t="str">
        <f t="shared" si="57"/>
        <v>2 Tütün tabakasi güzel dokulu falan | Rosa L | Deutsch)BULLET-1</v>
      </c>
      <c r="BP68" t="str">
        <f t="shared" si="58"/>
        <v>2 Tütün tabakasi güzel dokulu falan | Rosa L | Deutsch)BULLET-2</v>
      </c>
      <c r="BQ68" t="str">
        <f t="shared" si="59"/>
        <v>2 Tütün tabakasi güzel dokulu falan | Rosa L | Deutsch)BULLET-3</v>
      </c>
      <c r="BR68" t="str">
        <f t="shared" si="60"/>
        <v>2 Tütün tabakasi güzel dokulu falan | Rosa L | English)</v>
      </c>
      <c r="BS68" s="11" t="s">
        <v>465</v>
      </c>
      <c r="BT68" t="str">
        <f t="shared" si="61"/>
        <v>2 Tütün tabakasi güzel dokulu falan | Rosa L | English)BULLET-1</v>
      </c>
      <c r="BU68" t="str">
        <f t="shared" si="62"/>
        <v>2 Tütün tabakasi güzel dokulu falan | Rosa L | English)BULLET-2</v>
      </c>
      <c r="BV68" t="str">
        <f t="shared" si="63"/>
        <v>2 Tütün tabakasi güzel dokulu falan | Rosa L | English)BULLET-3</v>
      </c>
      <c r="BW68" t="str">
        <f t="shared" si="64"/>
        <v>2 Tütün tabakasi güzel dokulu falan | Rosa L | Türkçe)</v>
      </c>
      <c r="BX68" s="11" t="s">
        <v>466</v>
      </c>
      <c r="BY68" t="str">
        <f t="shared" si="65"/>
        <v>2 Tütün tabakasi güzel dokulu falan | Rosa L | Türkçe)BULLET-1</v>
      </c>
      <c r="BZ68" t="str">
        <f t="shared" si="66"/>
        <v>2 Tütün tabakasi güzel dokulu falan | Rosa L | Türkçe)BULLET-2</v>
      </c>
      <c r="CA68" t="str">
        <f t="shared" si="67"/>
        <v>2 Tütün tabakasi güzel dokulu falan | Rosa L | Türkçe)BULLET-3</v>
      </c>
      <c r="CB68" t="str">
        <f t="shared" si="68"/>
        <v>2 Tütün tabakasi güzel dokulu falan | Rosa L | Français)</v>
      </c>
      <c r="CC68" s="11" t="s">
        <v>467</v>
      </c>
      <c r="CD68" t="str">
        <f t="shared" si="69"/>
        <v>2 Tütün tabakasi güzel dokulu falan | Rosa L | Français)BULLET-1</v>
      </c>
      <c r="CE68" t="str">
        <f t="shared" si="70"/>
        <v>2 Tütün tabakasi güzel dokulu falan | Rosa L | Français)BULLET-2</v>
      </c>
      <c r="CF68" t="str">
        <f t="shared" si="71"/>
        <v>2 Tütün tabakasi güzel dokulu falan | Rosa L | Français)BULLET-3</v>
      </c>
      <c r="CG68" t="str">
        <f t="shared" si="72"/>
        <v>2 Tütün tabakasi güzel dokulu falan | Rosa L | Italiano)</v>
      </c>
      <c r="CH68" s="11" t="s">
        <v>468</v>
      </c>
      <c r="CI68" t="str">
        <f t="shared" si="73"/>
        <v>2 Tütün tabakasi güzel dokulu falan | Rosa L | Italiano)BULLET-1</v>
      </c>
      <c r="CJ68" t="str">
        <f t="shared" si="74"/>
        <v>2 Tütün tabakasi güzel dokulu falan | Rosa L | Italiano)BULLET-2</v>
      </c>
      <c r="CK68" t="str">
        <f t="shared" si="75"/>
        <v>2 Tütün tabakasi güzel dokulu falan | Rosa L | Italiano)BULLET-3</v>
      </c>
      <c r="CL68" t="str">
        <f t="shared" si="76"/>
        <v>2 Tütün tabakasi güzel dokulu falan | Rosa L | Español)</v>
      </c>
      <c r="CM68" s="11" t="s">
        <v>469</v>
      </c>
      <c r="CN68" t="str">
        <f t="shared" si="77"/>
        <v>2 Tütün tabakasi güzel dokulu falan | Rosa L | Español)BULLET-1</v>
      </c>
      <c r="CO68" t="str">
        <f t="shared" si="78"/>
        <v>2 Tütün tabakasi güzel dokulu falan | Rosa L | Español)BULLET-2</v>
      </c>
      <c r="CP68" t="str">
        <f t="shared" si="79"/>
        <v>2 Tütün tabakasi güzel dokulu falan | Rosa L | Español)BULLET-3</v>
      </c>
      <c r="CQ68">
        <v>10</v>
      </c>
      <c r="CT68">
        <v>12</v>
      </c>
      <c r="CW68">
        <v>12</v>
      </c>
      <c r="CZ68">
        <v>14</v>
      </c>
      <c r="DC68">
        <v>16</v>
      </c>
      <c r="DF68">
        <v>18</v>
      </c>
      <c r="DI68">
        <f t="shared" si="80"/>
        <v>588</v>
      </c>
      <c r="DO68" t="str">
        <f t="shared" si="81"/>
        <v>2SEO1 Tütün tabakasi güzel dokulu falan | Rosa L</v>
      </c>
      <c r="DP68" t="str">
        <f t="shared" si="25"/>
        <v>2SEO1 Tütün tabakasi güzel dokulu falan | Rosa L DESCRIPTION</v>
      </c>
      <c r="DQ68" t="str">
        <f t="shared" si="26"/>
        <v>2SEO1 Tütün tabakasi güzel dokulu falan | Rosa L KEYWORD</v>
      </c>
    </row>
    <row r="69" spans="1:121" ht="15" customHeight="1" x14ac:dyDescent="0.25">
      <c r="A69" t="s">
        <v>236</v>
      </c>
      <c r="B69" t="s">
        <v>348</v>
      </c>
      <c r="C69" t="s">
        <v>284</v>
      </c>
      <c r="D69" t="s">
        <v>228</v>
      </c>
      <c r="E69" s="9" t="s">
        <v>417</v>
      </c>
      <c r="F69">
        <v>50</v>
      </c>
      <c r="K69">
        <f t="shared" si="82"/>
        <v>113</v>
      </c>
      <c r="L69">
        <v>12</v>
      </c>
      <c r="M69">
        <v>3</v>
      </c>
      <c r="N69">
        <v>8</v>
      </c>
      <c r="O69" s="10" t="s">
        <v>431</v>
      </c>
      <c r="P69" s="10" t="s">
        <v>432</v>
      </c>
      <c r="T69" s="10" t="s">
        <v>431</v>
      </c>
      <c r="V69" t="s">
        <v>238</v>
      </c>
      <c r="X69" t="s">
        <v>283</v>
      </c>
      <c r="AG69" t="s">
        <v>266</v>
      </c>
      <c r="AH69">
        <v>200</v>
      </c>
      <c r="AI69" t="s">
        <v>456</v>
      </c>
      <c r="AJ69" t="s">
        <v>457</v>
      </c>
      <c r="AK69" t="s">
        <v>458</v>
      </c>
      <c r="AL69" t="s">
        <v>459</v>
      </c>
      <c r="AM69" t="s">
        <v>460</v>
      </c>
      <c r="AN69" t="s">
        <v>461</v>
      </c>
      <c r="AO69" t="s">
        <v>462</v>
      </c>
      <c r="AP69" t="s">
        <v>463</v>
      </c>
      <c r="BM69" t="str">
        <f t="shared" si="56"/>
        <v>2 Tütün tabakasi güzel dokulu falan | Rot XL | Deutsch)</v>
      </c>
      <c r="BN69" s="11" t="s">
        <v>464</v>
      </c>
      <c r="BO69" t="str">
        <f t="shared" si="57"/>
        <v>2 Tütün tabakasi güzel dokulu falan | Rot XL | Deutsch)BULLET-1</v>
      </c>
      <c r="BP69" t="str">
        <f t="shared" si="58"/>
        <v>2 Tütün tabakasi güzel dokulu falan | Rot XL | Deutsch)BULLET-2</v>
      </c>
      <c r="BQ69" t="str">
        <f t="shared" si="59"/>
        <v>2 Tütün tabakasi güzel dokulu falan | Rot XL | Deutsch)BULLET-3</v>
      </c>
      <c r="BR69" t="str">
        <f t="shared" si="60"/>
        <v>2 Tütün tabakasi güzel dokulu falan | Rot XL | English)</v>
      </c>
      <c r="BS69" s="11" t="s">
        <v>465</v>
      </c>
      <c r="BT69" t="str">
        <f t="shared" si="61"/>
        <v>2 Tütün tabakasi güzel dokulu falan | Rot XL | English)BULLET-1</v>
      </c>
      <c r="BU69" t="str">
        <f t="shared" si="62"/>
        <v>2 Tütün tabakasi güzel dokulu falan | Rot XL | English)BULLET-2</v>
      </c>
      <c r="BV69" t="str">
        <f t="shared" si="63"/>
        <v>2 Tütün tabakasi güzel dokulu falan | Rot XL | English)BULLET-3</v>
      </c>
      <c r="BW69" t="str">
        <f t="shared" si="64"/>
        <v>2 Tütün tabakasi güzel dokulu falan | Rot XL | Türkçe)</v>
      </c>
      <c r="BX69" s="11" t="s">
        <v>466</v>
      </c>
      <c r="BY69" t="str">
        <f t="shared" si="65"/>
        <v>2 Tütün tabakasi güzel dokulu falan | Rot XL | Türkçe)BULLET-1</v>
      </c>
      <c r="BZ69" t="str">
        <f t="shared" si="66"/>
        <v>2 Tütün tabakasi güzel dokulu falan | Rot XL | Türkçe)BULLET-2</v>
      </c>
      <c r="CA69" t="str">
        <f t="shared" si="67"/>
        <v>2 Tütün tabakasi güzel dokulu falan | Rot XL | Türkçe)BULLET-3</v>
      </c>
      <c r="CB69" t="str">
        <f t="shared" si="68"/>
        <v>2 Tütün tabakasi güzel dokulu falan | Rot XL | Français)</v>
      </c>
      <c r="CC69" s="11" t="s">
        <v>467</v>
      </c>
      <c r="CD69" t="str">
        <f t="shared" si="69"/>
        <v>2 Tütün tabakasi güzel dokulu falan | Rot XL | Français)BULLET-1</v>
      </c>
      <c r="CE69" t="str">
        <f t="shared" si="70"/>
        <v>2 Tütün tabakasi güzel dokulu falan | Rot XL | Français)BULLET-2</v>
      </c>
      <c r="CF69" t="str">
        <f t="shared" si="71"/>
        <v>2 Tütün tabakasi güzel dokulu falan | Rot XL | Français)BULLET-3</v>
      </c>
      <c r="CG69" t="str">
        <f t="shared" si="72"/>
        <v>2 Tütün tabakasi güzel dokulu falan | Rot XL | Italiano)</v>
      </c>
      <c r="CH69" s="11" t="s">
        <v>468</v>
      </c>
      <c r="CI69" t="str">
        <f t="shared" si="73"/>
        <v>2 Tütün tabakasi güzel dokulu falan | Rot XL | Italiano)BULLET-1</v>
      </c>
      <c r="CJ69" t="str">
        <f t="shared" si="74"/>
        <v>2 Tütün tabakasi güzel dokulu falan | Rot XL | Italiano)BULLET-2</v>
      </c>
      <c r="CK69" t="str">
        <f t="shared" si="75"/>
        <v>2 Tütün tabakasi güzel dokulu falan | Rot XL | Italiano)BULLET-3</v>
      </c>
      <c r="CL69" t="str">
        <f t="shared" si="76"/>
        <v>2 Tütün tabakasi güzel dokulu falan | Rot XL | Español)</v>
      </c>
      <c r="CM69" s="11" t="s">
        <v>469</v>
      </c>
      <c r="CN69" t="str">
        <f t="shared" si="77"/>
        <v>2 Tütün tabakasi güzel dokulu falan | Rot XL | Español)BULLET-1</v>
      </c>
      <c r="CO69" t="str">
        <f t="shared" si="78"/>
        <v>2 Tütün tabakasi güzel dokulu falan | Rot XL | Español)BULLET-2</v>
      </c>
      <c r="CP69" t="str">
        <f t="shared" si="79"/>
        <v>2 Tütün tabakasi güzel dokulu falan | Rot XL | Español)BULLET-3</v>
      </c>
      <c r="CQ69">
        <v>10</v>
      </c>
      <c r="CT69">
        <v>12</v>
      </c>
      <c r="CW69">
        <v>12</v>
      </c>
      <c r="CZ69">
        <v>14</v>
      </c>
      <c r="DC69">
        <v>16</v>
      </c>
      <c r="DF69">
        <v>18</v>
      </c>
      <c r="DI69">
        <f t="shared" si="80"/>
        <v>587</v>
      </c>
      <c r="DO69" t="str">
        <f t="shared" si="81"/>
        <v>2SEO1 Tütün tabakasi güzel dokulu falan | Rot XL</v>
      </c>
      <c r="DP69" t="str">
        <f t="shared" si="25"/>
        <v>2SEO1 Tütün tabakasi güzel dokulu falan | Rot XL DESCRIPTION</v>
      </c>
      <c r="DQ69" t="str">
        <f t="shared" si="26"/>
        <v>2SEO1 Tütün tabakasi güzel dokulu falan | Rot XL KEYWORD</v>
      </c>
    </row>
    <row r="70" spans="1:121" ht="15" customHeight="1" x14ac:dyDescent="0.25">
      <c r="A70" t="s">
        <v>236</v>
      </c>
      <c r="B70" t="s">
        <v>349</v>
      </c>
      <c r="C70" t="s">
        <v>284</v>
      </c>
      <c r="D70" t="s">
        <v>228</v>
      </c>
      <c r="E70" s="9" t="s">
        <v>418</v>
      </c>
      <c r="F70">
        <v>50</v>
      </c>
      <c r="K70">
        <f t="shared" si="82"/>
        <v>114</v>
      </c>
      <c r="L70">
        <v>12</v>
      </c>
      <c r="M70">
        <v>3</v>
      </c>
      <c r="N70">
        <v>8</v>
      </c>
      <c r="O70" s="10" t="s">
        <v>441</v>
      </c>
      <c r="P70" s="10" t="s">
        <v>432</v>
      </c>
      <c r="T70" s="10" t="s">
        <v>441</v>
      </c>
      <c r="V70" t="s">
        <v>275</v>
      </c>
      <c r="X70" t="s">
        <v>283</v>
      </c>
      <c r="AG70" t="s">
        <v>266</v>
      </c>
      <c r="AH70">
        <v>200</v>
      </c>
      <c r="AI70" t="s">
        <v>456</v>
      </c>
      <c r="AJ70" t="s">
        <v>457</v>
      </c>
      <c r="AK70" t="s">
        <v>458</v>
      </c>
      <c r="AL70" t="s">
        <v>459</v>
      </c>
      <c r="AM70" t="s">
        <v>460</v>
      </c>
      <c r="AN70" t="s">
        <v>461</v>
      </c>
      <c r="AO70" t="s">
        <v>462</v>
      </c>
      <c r="AP70" t="s">
        <v>463</v>
      </c>
      <c r="BM70" t="str">
        <f t="shared" si="56"/>
        <v>2 Tütün tabakasi güzel dokulu falan | Schwarz XL | Deutsch)</v>
      </c>
      <c r="BN70" s="11" t="s">
        <v>464</v>
      </c>
      <c r="BO70" t="str">
        <f t="shared" si="57"/>
        <v>2 Tütün tabakasi güzel dokulu falan | Schwarz XL | Deutsch)BULLET-1</v>
      </c>
      <c r="BP70" t="str">
        <f t="shared" si="58"/>
        <v>2 Tütün tabakasi güzel dokulu falan | Schwarz XL | Deutsch)BULLET-2</v>
      </c>
      <c r="BQ70" t="str">
        <f t="shared" si="59"/>
        <v>2 Tütün tabakasi güzel dokulu falan | Schwarz XL | Deutsch)BULLET-3</v>
      </c>
      <c r="BR70" t="str">
        <f t="shared" si="60"/>
        <v>2 Tütün tabakasi güzel dokulu falan | Schwarz XL | English)</v>
      </c>
      <c r="BS70" s="11" t="s">
        <v>465</v>
      </c>
      <c r="BT70" t="str">
        <f t="shared" si="61"/>
        <v>2 Tütün tabakasi güzel dokulu falan | Schwarz XL | English)BULLET-1</v>
      </c>
      <c r="BU70" t="str">
        <f t="shared" si="62"/>
        <v>2 Tütün tabakasi güzel dokulu falan | Schwarz XL | English)BULLET-2</v>
      </c>
      <c r="BV70" t="str">
        <f t="shared" si="63"/>
        <v>2 Tütün tabakasi güzel dokulu falan | Schwarz XL | English)BULLET-3</v>
      </c>
      <c r="BW70" t="str">
        <f t="shared" si="64"/>
        <v>2 Tütün tabakasi güzel dokulu falan | Schwarz XL | Türkçe)</v>
      </c>
      <c r="BX70" s="11" t="s">
        <v>466</v>
      </c>
      <c r="BY70" t="str">
        <f t="shared" si="65"/>
        <v>2 Tütün tabakasi güzel dokulu falan | Schwarz XL | Türkçe)BULLET-1</v>
      </c>
      <c r="BZ70" t="str">
        <f t="shared" si="66"/>
        <v>2 Tütün tabakasi güzel dokulu falan | Schwarz XL | Türkçe)BULLET-2</v>
      </c>
      <c r="CA70" t="str">
        <f t="shared" si="67"/>
        <v>2 Tütün tabakasi güzel dokulu falan | Schwarz XL | Türkçe)BULLET-3</v>
      </c>
      <c r="CB70" t="str">
        <f t="shared" si="68"/>
        <v>2 Tütün tabakasi güzel dokulu falan | Schwarz XL | Français)</v>
      </c>
      <c r="CC70" s="11" t="s">
        <v>467</v>
      </c>
      <c r="CD70" t="str">
        <f t="shared" si="69"/>
        <v>2 Tütün tabakasi güzel dokulu falan | Schwarz XL | Français)BULLET-1</v>
      </c>
      <c r="CE70" t="str">
        <f t="shared" si="70"/>
        <v>2 Tütün tabakasi güzel dokulu falan | Schwarz XL | Français)BULLET-2</v>
      </c>
      <c r="CF70" t="str">
        <f t="shared" si="71"/>
        <v>2 Tütün tabakasi güzel dokulu falan | Schwarz XL | Français)BULLET-3</v>
      </c>
      <c r="CG70" t="str">
        <f t="shared" si="72"/>
        <v>2 Tütün tabakasi güzel dokulu falan | Schwarz XL | Italiano)</v>
      </c>
      <c r="CH70" s="11" t="s">
        <v>468</v>
      </c>
      <c r="CI70" t="str">
        <f t="shared" si="73"/>
        <v>2 Tütün tabakasi güzel dokulu falan | Schwarz XL | Italiano)BULLET-1</v>
      </c>
      <c r="CJ70" t="str">
        <f t="shared" si="74"/>
        <v>2 Tütün tabakasi güzel dokulu falan | Schwarz XL | Italiano)BULLET-2</v>
      </c>
      <c r="CK70" t="str">
        <f t="shared" si="75"/>
        <v>2 Tütün tabakasi güzel dokulu falan | Schwarz XL | Italiano)BULLET-3</v>
      </c>
      <c r="CL70" t="str">
        <f t="shared" si="76"/>
        <v>2 Tütün tabakasi güzel dokulu falan | Schwarz XL | Español)</v>
      </c>
      <c r="CM70" s="11" t="s">
        <v>469</v>
      </c>
      <c r="CN70" t="str">
        <f t="shared" si="77"/>
        <v>2 Tütün tabakasi güzel dokulu falan | Schwarz XL | Español)BULLET-1</v>
      </c>
      <c r="CO70" t="str">
        <f t="shared" si="78"/>
        <v>2 Tütün tabakasi güzel dokulu falan | Schwarz XL | Español)BULLET-2</v>
      </c>
      <c r="CP70" t="str">
        <f t="shared" si="79"/>
        <v>2 Tütün tabakasi güzel dokulu falan | Schwarz XL | Español)BULLET-3</v>
      </c>
      <c r="CQ70">
        <v>10</v>
      </c>
      <c r="CT70">
        <v>12</v>
      </c>
      <c r="CW70">
        <v>12</v>
      </c>
      <c r="CZ70">
        <v>14</v>
      </c>
      <c r="DC70">
        <v>16</v>
      </c>
      <c r="DF70">
        <v>18</v>
      </c>
      <c r="DI70">
        <f t="shared" si="80"/>
        <v>586</v>
      </c>
      <c r="DO70" t="str">
        <f t="shared" si="81"/>
        <v>2SEO1 Tütün tabakasi güzel dokulu falan | Schwarz XL</v>
      </c>
      <c r="DP70" t="str">
        <f t="shared" ref="DP70:DP77" si="83">DO70&amp;" DESCRIPTION"</f>
        <v>2SEO1 Tütün tabakasi güzel dokulu falan | Schwarz XL DESCRIPTION</v>
      </c>
      <c r="DQ70" t="str">
        <f t="shared" ref="DQ70:DQ77" si="84">DO70&amp;" KEYWORD"</f>
        <v>2SEO1 Tütün tabakasi güzel dokulu falan | Schwarz XL KEYWORD</v>
      </c>
    </row>
    <row r="71" spans="1:121" ht="15" customHeight="1" x14ac:dyDescent="0.25">
      <c r="A71" t="s">
        <v>236</v>
      </c>
      <c r="B71" t="s">
        <v>350</v>
      </c>
      <c r="C71" t="s">
        <v>284</v>
      </c>
      <c r="D71" t="s">
        <v>228</v>
      </c>
      <c r="E71" s="9" t="s">
        <v>419</v>
      </c>
      <c r="F71">
        <v>50</v>
      </c>
      <c r="K71">
        <f t="shared" si="82"/>
        <v>115</v>
      </c>
      <c r="L71">
        <v>12</v>
      </c>
      <c r="M71">
        <v>3</v>
      </c>
      <c r="N71">
        <v>8</v>
      </c>
      <c r="O71" s="10" t="s">
        <v>442</v>
      </c>
      <c r="P71" s="10" t="s">
        <v>432</v>
      </c>
      <c r="T71" s="10" t="s">
        <v>442</v>
      </c>
      <c r="V71" t="s">
        <v>276</v>
      </c>
      <c r="X71" t="s">
        <v>283</v>
      </c>
      <c r="AG71" t="s">
        <v>266</v>
      </c>
      <c r="AH71">
        <v>200</v>
      </c>
      <c r="AI71" t="s">
        <v>456</v>
      </c>
      <c r="AJ71" t="s">
        <v>457</v>
      </c>
      <c r="AK71" t="s">
        <v>458</v>
      </c>
      <c r="AL71" t="s">
        <v>459</v>
      </c>
      <c r="AM71" t="s">
        <v>460</v>
      </c>
      <c r="AN71" t="s">
        <v>461</v>
      </c>
      <c r="AO71" t="s">
        <v>462</v>
      </c>
      <c r="AP71" t="s">
        <v>463</v>
      </c>
      <c r="BM71" t="str">
        <f t="shared" si="56"/>
        <v>2 Tütün tabakasi güzel dokulu falan | Weiß XL | Deutsch)</v>
      </c>
      <c r="BN71" s="11" t="s">
        <v>464</v>
      </c>
      <c r="BO71" t="str">
        <f t="shared" si="57"/>
        <v>2 Tütün tabakasi güzel dokulu falan | Weiß XL | Deutsch)BULLET-1</v>
      </c>
      <c r="BP71" t="str">
        <f t="shared" si="58"/>
        <v>2 Tütün tabakasi güzel dokulu falan | Weiß XL | Deutsch)BULLET-2</v>
      </c>
      <c r="BQ71" t="str">
        <f t="shared" si="59"/>
        <v>2 Tütün tabakasi güzel dokulu falan | Weiß XL | Deutsch)BULLET-3</v>
      </c>
      <c r="BR71" t="str">
        <f t="shared" si="60"/>
        <v>2 Tütün tabakasi güzel dokulu falan | Weiß XL | English)</v>
      </c>
      <c r="BS71" s="11" t="s">
        <v>465</v>
      </c>
      <c r="BT71" t="str">
        <f t="shared" si="61"/>
        <v>2 Tütün tabakasi güzel dokulu falan | Weiß XL | English)BULLET-1</v>
      </c>
      <c r="BU71" t="str">
        <f t="shared" si="62"/>
        <v>2 Tütün tabakasi güzel dokulu falan | Weiß XL | English)BULLET-2</v>
      </c>
      <c r="BV71" t="str">
        <f t="shared" si="63"/>
        <v>2 Tütün tabakasi güzel dokulu falan | Weiß XL | English)BULLET-3</v>
      </c>
      <c r="BW71" t="str">
        <f t="shared" si="64"/>
        <v>2 Tütün tabakasi güzel dokulu falan | Weiß XL | Türkçe)</v>
      </c>
      <c r="BX71" s="11" t="s">
        <v>466</v>
      </c>
      <c r="BY71" t="str">
        <f t="shared" si="65"/>
        <v>2 Tütün tabakasi güzel dokulu falan | Weiß XL | Türkçe)BULLET-1</v>
      </c>
      <c r="BZ71" t="str">
        <f t="shared" si="66"/>
        <v>2 Tütün tabakasi güzel dokulu falan | Weiß XL | Türkçe)BULLET-2</v>
      </c>
      <c r="CA71" t="str">
        <f t="shared" si="67"/>
        <v>2 Tütün tabakasi güzel dokulu falan | Weiß XL | Türkçe)BULLET-3</v>
      </c>
      <c r="CB71" t="str">
        <f t="shared" si="68"/>
        <v>2 Tütün tabakasi güzel dokulu falan | Weiß XL | Français)</v>
      </c>
      <c r="CC71" s="11" t="s">
        <v>467</v>
      </c>
      <c r="CD71" t="str">
        <f t="shared" si="69"/>
        <v>2 Tütün tabakasi güzel dokulu falan | Weiß XL | Français)BULLET-1</v>
      </c>
      <c r="CE71" t="str">
        <f t="shared" si="70"/>
        <v>2 Tütün tabakasi güzel dokulu falan | Weiß XL | Français)BULLET-2</v>
      </c>
      <c r="CF71" t="str">
        <f t="shared" si="71"/>
        <v>2 Tütün tabakasi güzel dokulu falan | Weiß XL | Français)BULLET-3</v>
      </c>
      <c r="CG71" t="str">
        <f t="shared" si="72"/>
        <v>2 Tütün tabakasi güzel dokulu falan | Weiß XL | Italiano)</v>
      </c>
      <c r="CH71" s="11" t="s">
        <v>468</v>
      </c>
      <c r="CI71" t="str">
        <f t="shared" si="73"/>
        <v>2 Tütün tabakasi güzel dokulu falan | Weiß XL | Italiano)BULLET-1</v>
      </c>
      <c r="CJ71" t="str">
        <f t="shared" si="74"/>
        <v>2 Tütün tabakasi güzel dokulu falan | Weiß XL | Italiano)BULLET-2</v>
      </c>
      <c r="CK71" t="str">
        <f t="shared" si="75"/>
        <v>2 Tütün tabakasi güzel dokulu falan | Weiß XL | Italiano)BULLET-3</v>
      </c>
      <c r="CL71" t="str">
        <f t="shared" si="76"/>
        <v>2 Tütün tabakasi güzel dokulu falan | Weiß XL | Español)</v>
      </c>
      <c r="CM71" s="11" t="s">
        <v>469</v>
      </c>
      <c r="CN71" t="str">
        <f t="shared" si="77"/>
        <v>2 Tütün tabakasi güzel dokulu falan | Weiß XL | Español)BULLET-1</v>
      </c>
      <c r="CO71" t="str">
        <f t="shared" si="78"/>
        <v>2 Tütün tabakasi güzel dokulu falan | Weiß XL | Español)BULLET-2</v>
      </c>
      <c r="CP71" t="str">
        <f t="shared" si="79"/>
        <v>2 Tütün tabakasi güzel dokulu falan | Weiß XL | Español)BULLET-3</v>
      </c>
      <c r="CQ71">
        <v>10</v>
      </c>
      <c r="CT71">
        <v>12</v>
      </c>
      <c r="CW71">
        <v>12</v>
      </c>
      <c r="CZ71">
        <v>14</v>
      </c>
      <c r="DC71">
        <v>16</v>
      </c>
      <c r="DF71">
        <v>18</v>
      </c>
      <c r="DI71">
        <f t="shared" si="80"/>
        <v>585</v>
      </c>
      <c r="DO71" t="str">
        <f t="shared" si="81"/>
        <v>2SEO1 Tütün tabakasi güzel dokulu falan | Weiß XL</v>
      </c>
      <c r="DP71" t="str">
        <f t="shared" si="83"/>
        <v>2SEO1 Tütün tabakasi güzel dokulu falan | Weiß XL DESCRIPTION</v>
      </c>
      <c r="DQ71" t="str">
        <f t="shared" si="84"/>
        <v>2SEO1 Tütün tabakasi güzel dokulu falan | Weiß XL KEYWORD</v>
      </c>
    </row>
    <row r="72" spans="1:121" ht="15" customHeight="1" x14ac:dyDescent="0.25">
      <c r="A72" t="s">
        <v>236</v>
      </c>
      <c r="B72" t="s">
        <v>351</v>
      </c>
      <c r="C72" t="s">
        <v>284</v>
      </c>
      <c r="D72" t="s">
        <v>228</v>
      </c>
      <c r="E72" s="9" t="s">
        <v>420</v>
      </c>
      <c r="F72">
        <v>50</v>
      </c>
      <c r="K72">
        <f t="shared" si="82"/>
        <v>116</v>
      </c>
      <c r="L72">
        <v>12</v>
      </c>
      <c r="M72">
        <v>3</v>
      </c>
      <c r="N72">
        <v>8</v>
      </c>
      <c r="O72" s="10" t="s">
        <v>443</v>
      </c>
      <c r="P72" s="10" t="s">
        <v>432</v>
      </c>
      <c r="T72" s="10" t="s">
        <v>443</v>
      </c>
      <c r="V72" t="s">
        <v>277</v>
      </c>
      <c r="X72" t="s">
        <v>283</v>
      </c>
      <c r="AG72" t="s">
        <v>266</v>
      </c>
      <c r="AH72">
        <v>200</v>
      </c>
      <c r="AI72" t="s">
        <v>456</v>
      </c>
      <c r="AJ72" t="s">
        <v>457</v>
      </c>
      <c r="AK72" t="s">
        <v>458</v>
      </c>
      <c r="AL72" t="s">
        <v>459</v>
      </c>
      <c r="AM72" t="s">
        <v>460</v>
      </c>
      <c r="AN72" t="s">
        <v>461</v>
      </c>
      <c r="AO72" t="s">
        <v>462</v>
      </c>
      <c r="AP72" t="s">
        <v>463</v>
      </c>
      <c r="BM72" t="str">
        <f t="shared" si="56"/>
        <v>2 Tütün tabakasi güzel dokulu falan | Grün XL | Deutsch)</v>
      </c>
      <c r="BN72" s="11" t="s">
        <v>464</v>
      </c>
      <c r="BO72" t="str">
        <f t="shared" si="57"/>
        <v>2 Tütün tabakasi güzel dokulu falan | Grün XL | Deutsch)BULLET-1</v>
      </c>
      <c r="BP72" t="str">
        <f t="shared" si="58"/>
        <v>2 Tütün tabakasi güzel dokulu falan | Grün XL | Deutsch)BULLET-2</v>
      </c>
      <c r="BQ72" t="str">
        <f t="shared" si="59"/>
        <v>2 Tütün tabakasi güzel dokulu falan | Grün XL | Deutsch)BULLET-3</v>
      </c>
      <c r="BR72" t="str">
        <f t="shared" si="60"/>
        <v>2 Tütün tabakasi güzel dokulu falan | Grün XL | English)</v>
      </c>
      <c r="BS72" s="11" t="s">
        <v>465</v>
      </c>
      <c r="BT72" t="str">
        <f t="shared" si="61"/>
        <v>2 Tütün tabakasi güzel dokulu falan | Grün XL | English)BULLET-1</v>
      </c>
      <c r="BU72" t="str">
        <f t="shared" si="62"/>
        <v>2 Tütün tabakasi güzel dokulu falan | Grün XL | English)BULLET-2</v>
      </c>
      <c r="BV72" t="str">
        <f t="shared" si="63"/>
        <v>2 Tütün tabakasi güzel dokulu falan | Grün XL | English)BULLET-3</v>
      </c>
      <c r="BW72" t="str">
        <f t="shared" si="64"/>
        <v>2 Tütün tabakasi güzel dokulu falan | Grün XL | Türkçe)</v>
      </c>
      <c r="BX72" s="11" t="s">
        <v>466</v>
      </c>
      <c r="BY72" t="str">
        <f t="shared" si="65"/>
        <v>2 Tütün tabakasi güzel dokulu falan | Grün XL | Türkçe)BULLET-1</v>
      </c>
      <c r="BZ72" t="str">
        <f t="shared" si="66"/>
        <v>2 Tütün tabakasi güzel dokulu falan | Grün XL | Türkçe)BULLET-2</v>
      </c>
      <c r="CA72" t="str">
        <f t="shared" si="67"/>
        <v>2 Tütün tabakasi güzel dokulu falan | Grün XL | Türkçe)BULLET-3</v>
      </c>
      <c r="CB72" t="str">
        <f t="shared" si="68"/>
        <v>2 Tütün tabakasi güzel dokulu falan | Grün XL | Français)</v>
      </c>
      <c r="CC72" s="11" t="s">
        <v>467</v>
      </c>
      <c r="CD72" t="str">
        <f t="shared" si="69"/>
        <v>2 Tütün tabakasi güzel dokulu falan | Grün XL | Français)BULLET-1</v>
      </c>
      <c r="CE72" t="str">
        <f t="shared" si="70"/>
        <v>2 Tütün tabakasi güzel dokulu falan | Grün XL | Français)BULLET-2</v>
      </c>
      <c r="CF72" t="str">
        <f t="shared" si="71"/>
        <v>2 Tütün tabakasi güzel dokulu falan | Grün XL | Français)BULLET-3</v>
      </c>
      <c r="CG72" t="str">
        <f t="shared" si="72"/>
        <v>2 Tütün tabakasi güzel dokulu falan | Grün XL | Italiano)</v>
      </c>
      <c r="CH72" s="11" t="s">
        <v>468</v>
      </c>
      <c r="CI72" t="str">
        <f t="shared" si="73"/>
        <v>2 Tütün tabakasi güzel dokulu falan | Grün XL | Italiano)BULLET-1</v>
      </c>
      <c r="CJ72" t="str">
        <f t="shared" si="74"/>
        <v>2 Tütün tabakasi güzel dokulu falan | Grün XL | Italiano)BULLET-2</v>
      </c>
      <c r="CK72" t="str">
        <f t="shared" si="75"/>
        <v>2 Tütün tabakasi güzel dokulu falan | Grün XL | Italiano)BULLET-3</v>
      </c>
      <c r="CL72" t="str">
        <f t="shared" si="76"/>
        <v>2 Tütün tabakasi güzel dokulu falan | Grün XL | Español)</v>
      </c>
      <c r="CM72" s="11" t="s">
        <v>469</v>
      </c>
      <c r="CN72" t="str">
        <f t="shared" si="77"/>
        <v>2 Tütün tabakasi güzel dokulu falan | Grün XL | Español)BULLET-1</v>
      </c>
      <c r="CO72" t="str">
        <f t="shared" si="78"/>
        <v>2 Tütün tabakasi güzel dokulu falan | Grün XL | Español)BULLET-2</v>
      </c>
      <c r="CP72" t="str">
        <f t="shared" si="79"/>
        <v>2 Tütün tabakasi güzel dokulu falan | Grün XL | Español)BULLET-3</v>
      </c>
      <c r="CQ72">
        <v>10</v>
      </c>
      <c r="CT72">
        <v>12</v>
      </c>
      <c r="CW72">
        <v>12</v>
      </c>
      <c r="CZ72">
        <v>14</v>
      </c>
      <c r="DC72">
        <v>16</v>
      </c>
      <c r="DF72">
        <v>18</v>
      </c>
      <c r="DI72">
        <f t="shared" si="80"/>
        <v>584</v>
      </c>
      <c r="DO72" t="str">
        <f t="shared" si="81"/>
        <v>2SEO1 Tütün tabakasi güzel dokulu falan | Grün XL</v>
      </c>
      <c r="DP72" t="str">
        <f t="shared" si="83"/>
        <v>2SEO1 Tütün tabakasi güzel dokulu falan | Grün XL DESCRIPTION</v>
      </c>
      <c r="DQ72" t="str">
        <f t="shared" si="84"/>
        <v>2SEO1 Tütün tabakasi güzel dokulu falan | Grün XL KEYWORD</v>
      </c>
    </row>
    <row r="73" spans="1:121" ht="15" customHeight="1" x14ac:dyDescent="0.25">
      <c r="A73" t="s">
        <v>236</v>
      </c>
      <c r="B73" t="s">
        <v>352</v>
      </c>
      <c r="C73" t="s">
        <v>284</v>
      </c>
      <c r="D73" t="s">
        <v>228</v>
      </c>
      <c r="E73" s="9" t="s">
        <v>421</v>
      </c>
      <c r="F73">
        <v>50</v>
      </c>
      <c r="K73">
        <f t="shared" si="82"/>
        <v>117</v>
      </c>
      <c r="L73">
        <v>12</v>
      </c>
      <c r="M73">
        <v>3</v>
      </c>
      <c r="N73">
        <v>8</v>
      </c>
      <c r="O73" s="10" t="s">
        <v>444</v>
      </c>
      <c r="P73" s="10" t="s">
        <v>432</v>
      </c>
      <c r="T73" s="10" t="s">
        <v>444</v>
      </c>
      <c r="V73" t="s">
        <v>278</v>
      </c>
      <c r="X73" t="s">
        <v>283</v>
      </c>
      <c r="AG73" t="s">
        <v>266</v>
      </c>
      <c r="AH73">
        <v>200</v>
      </c>
      <c r="AI73" t="s">
        <v>456</v>
      </c>
      <c r="AJ73" t="s">
        <v>457</v>
      </c>
      <c r="AK73" t="s">
        <v>458</v>
      </c>
      <c r="AL73" t="s">
        <v>459</v>
      </c>
      <c r="AM73" t="s">
        <v>460</v>
      </c>
      <c r="AN73" t="s">
        <v>461</v>
      </c>
      <c r="AO73" t="s">
        <v>462</v>
      </c>
      <c r="AP73" t="s">
        <v>463</v>
      </c>
      <c r="BM73" t="str">
        <f t="shared" si="56"/>
        <v>2 Tütün tabakasi güzel dokulu falan | Blau XL | Deutsch)</v>
      </c>
      <c r="BN73" s="11" t="s">
        <v>464</v>
      </c>
      <c r="BO73" t="str">
        <f t="shared" si="57"/>
        <v>2 Tütün tabakasi güzel dokulu falan | Blau XL | Deutsch)BULLET-1</v>
      </c>
      <c r="BP73" t="str">
        <f t="shared" si="58"/>
        <v>2 Tütün tabakasi güzel dokulu falan | Blau XL | Deutsch)BULLET-2</v>
      </c>
      <c r="BQ73" t="str">
        <f t="shared" si="59"/>
        <v>2 Tütün tabakasi güzel dokulu falan | Blau XL | Deutsch)BULLET-3</v>
      </c>
      <c r="BR73" t="str">
        <f t="shared" si="60"/>
        <v>2 Tütün tabakasi güzel dokulu falan | Blau XL | English)</v>
      </c>
      <c r="BS73" s="11" t="s">
        <v>465</v>
      </c>
      <c r="BT73" t="str">
        <f t="shared" si="61"/>
        <v>2 Tütün tabakasi güzel dokulu falan | Blau XL | English)BULLET-1</v>
      </c>
      <c r="BU73" t="str">
        <f t="shared" si="62"/>
        <v>2 Tütün tabakasi güzel dokulu falan | Blau XL | English)BULLET-2</v>
      </c>
      <c r="BV73" t="str">
        <f t="shared" si="63"/>
        <v>2 Tütün tabakasi güzel dokulu falan | Blau XL | English)BULLET-3</v>
      </c>
      <c r="BW73" t="str">
        <f t="shared" si="64"/>
        <v>2 Tütün tabakasi güzel dokulu falan | Blau XL | Türkçe)</v>
      </c>
      <c r="BX73" s="11" t="s">
        <v>466</v>
      </c>
      <c r="BY73" t="str">
        <f t="shared" si="65"/>
        <v>2 Tütün tabakasi güzel dokulu falan | Blau XL | Türkçe)BULLET-1</v>
      </c>
      <c r="BZ73" t="str">
        <f t="shared" si="66"/>
        <v>2 Tütün tabakasi güzel dokulu falan | Blau XL | Türkçe)BULLET-2</v>
      </c>
      <c r="CA73" t="str">
        <f t="shared" si="67"/>
        <v>2 Tütün tabakasi güzel dokulu falan | Blau XL | Türkçe)BULLET-3</v>
      </c>
      <c r="CB73" t="str">
        <f t="shared" si="68"/>
        <v>2 Tütün tabakasi güzel dokulu falan | Blau XL | Français)</v>
      </c>
      <c r="CC73" s="11" t="s">
        <v>467</v>
      </c>
      <c r="CD73" t="str">
        <f t="shared" si="69"/>
        <v>2 Tütün tabakasi güzel dokulu falan | Blau XL | Français)BULLET-1</v>
      </c>
      <c r="CE73" t="str">
        <f t="shared" si="70"/>
        <v>2 Tütün tabakasi güzel dokulu falan | Blau XL | Français)BULLET-2</v>
      </c>
      <c r="CF73" t="str">
        <f t="shared" si="71"/>
        <v>2 Tütün tabakasi güzel dokulu falan | Blau XL | Français)BULLET-3</v>
      </c>
      <c r="CG73" t="str">
        <f t="shared" si="72"/>
        <v>2 Tütün tabakasi güzel dokulu falan | Blau XL | Italiano)</v>
      </c>
      <c r="CH73" s="11" t="s">
        <v>468</v>
      </c>
      <c r="CI73" t="str">
        <f t="shared" si="73"/>
        <v>2 Tütün tabakasi güzel dokulu falan | Blau XL | Italiano)BULLET-1</v>
      </c>
      <c r="CJ73" t="str">
        <f t="shared" si="74"/>
        <v>2 Tütün tabakasi güzel dokulu falan | Blau XL | Italiano)BULLET-2</v>
      </c>
      <c r="CK73" t="str">
        <f t="shared" si="75"/>
        <v>2 Tütün tabakasi güzel dokulu falan | Blau XL | Italiano)BULLET-3</v>
      </c>
      <c r="CL73" t="str">
        <f t="shared" si="76"/>
        <v>2 Tütün tabakasi güzel dokulu falan | Blau XL | Español)</v>
      </c>
      <c r="CM73" s="11" t="s">
        <v>469</v>
      </c>
      <c r="CN73" t="str">
        <f t="shared" si="77"/>
        <v>2 Tütün tabakasi güzel dokulu falan | Blau XL | Español)BULLET-1</v>
      </c>
      <c r="CO73" t="str">
        <f t="shared" si="78"/>
        <v>2 Tütün tabakasi güzel dokulu falan | Blau XL | Español)BULLET-2</v>
      </c>
      <c r="CP73" t="str">
        <f t="shared" si="79"/>
        <v>2 Tütün tabakasi güzel dokulu falan | Blau XL | Español)BULLET-3</v>
      </c>
      <c r="CQ73">
        <v>10</v>
      </c>
      <c r="CT73">
        <v>12</v>
      </c>
      <c r="CW73">
        <v>12</v>
      </c>
      <c r="CZ73">
        <v>14</v>
      </c>
      <c r="DC73">
        <v>16</v>
      </c>
      <c r="DF73">
        <v>18</v>
      </c>
      <c r="DI73">
        <f t="shared" si="80"/>
        <v>583</v>
      </c>
      <c r="DO73" t="str">
        <f t="shared" si="81"/>
        <v>2SEO1 Tütün tabakasi güzel dokulu falan | Blau XL</v>
      </c>
      <c r="DP73" t="str">
        <f t="shared" si="83"/>
        <v>2SEO1 Tütün tabakasi güzel dokulu falan | Blau XL DESCRIPTION</v>
      </c>
      <c r="DQ73" t="str">
        <f t="shared" si="84"/>
        <v>2SEO1 Tütün tabakasi güzel dokulu falan | Blau XL KEYWORD</v>
      </c>
    </row>
    <row r="74" spans="1:121" ht="15" customHeight="1" x14ac:dyDescent="0.25">
      <c r="A74" t="s">
        <v>236</v>
      </c>
      <c r="B74" t="s">
        <v>353</v>
      </c>
      <c r="C74" t="s">
        <v>284</v>
      </c>
      <c r="D74" t="s">
        <v>228</v>
      </c>
      <c r="E74" s="9" t="s">
        <v>422</v>
      </c>
      <c r="F74">
        <v>50</v>
      </c>
      <c r="K74">
        <f t="shared" si="82"/>
        <v>118</v>
      </c>
      <c r="L74">
        <v>12</v>
      </c>
      <c r="M74">
        <v>3</v>
      </c>
      <c r="N74">
        <v>8</v>
      </c>
      <c r="O74" s="10" t="s">
        <v>445</v>
      </c>
      <c r="P74" s="10" t="s">
        <v>432</v>
      </c>
      <c r="T74" s="10" t="s">
        <v>445</v>
      </c>
      <c r="V74" t="s">
        <v>279</v>
      </c>
      <c r="X74" t="s">
        <v>283</v>
      </c>
      <c r="AG74" t="s">
        <v>266</v>
      </c>
      <c r="AH74">
        <v>200</v>
      </c>
      <c r="AI74" t="s">
        <v>456</v>
      </c>
      <c r="AJ74" t="s">
        <v>457</v>
      </c>
      <c r="AK74" t="s">
        <v>458</v>
      </c>
      <c r="AL74" t="s">
        <v>459</v>
      </c>
      <c r="AM74" t="s">
        <v>460</v>
      </c>
      <c r="AN74" t="s">
        <v>461</v>
      </c>
      <c r="AO74" t="s">
        <v>462</v>
      </c>
      <c r="AP74" t="s">
        <v>463</v>
      </c>
      <c r="BM74" t="str">
        <f t="shared" si="56"/>
        <v>2 Tütün tabakasi güzel dokulu falan | Gelb XL | Deutsch)</v>
      </c>
      <c r="BN74" s="11" t="s">
        <v>464</v>
      </c>
      <c r="BO74" t="str">
        <f t="shared" si="57"/>
        <v>2 Tütün tabakasi güzel dokulu falan | Gelb XL | Deutsch)BULLET-1</v>
      </c>
      <c r="BP74" t="str">
        <f t="shared" si="58"/>
        <v>2 Tütün tabakasi güzel dokulu falan | Gelb XL | Deutsch)BULLET-2</v>
      </c>
      <c r="BQ74" t="str">
        <f t="shared" si="59"/>
        <v>2 Tütün tabakasi güzel dokulu falan | Gelb XL | Deutsch)BULLET-3</v>
      </c>
      <c r="BR74" t="str">
        <f t="shared" si="60"/>
        <v>2 Tütün tabakasi güzel dokulu falan | Gelb XL | English)</v>
      </c>
      <c r="BS74" s="11" t="s">
        <v>465</v>
      </c>
      <c r="BT74" t="str">
        <f t="shared" si="61"/>
        <v>2 Tütün tabakasi güzel dokulu falan | Gelb XL | English)BULLET-1</v>
      </c>
      <c r="BU74" t="str">
        <f t="shared" si="62"/>
        <v>2 Tütün tabakasi güzel dokulu falan | Gelb XL | English)BULLET-2</v>
      </c>
      <c r="BV74" t="str">
        <f t="shared" si="63"/>
        <v>2 Tütün tabakasi güzel dokulu falan | Gelb XL | English)BULLET-3</v>
      </c>
      <c r="BW74" t="str">
        <f t="shared" si="64"/>
        <v>2 Tütün tabakasi güzel dokulu falan | Gelb XL | Türkçe)</v>
      </c>
      <c r="BX74" s="11" t="s">
        <v>466</v>
      </c>
      <c r="BY74" t="str">
        <f t="shared" si="65"/>
        <v>2 Tütün tabakasi güzel dokulu falan | Gelb XL | Türkçe)BULLET-1</v>
      </c>
      <c r="BZ74" t="str">
        <f t="shared" si="66"/>
        <v>2 Tütün tabakasi güzel dokulu falan | Gelb XL | Türkçe)BULLET-2</v>
      </c>
      <c r="CA74" t="str">
        <f t="shared" si="67"/>
        <v>2 Tütün tabakasi güzel dokulu falan | Gelb XL | Türkçe)BULLET-3</v>
      </c>
      <c r="CB74" t="str">
        <f t="shared" si="68"/>
        <v>2 Tütün tabakasi güzel dokulu falan | Gelb XL | Français)</v>
      </c>
      <c r="CC74" s="11" t="s">
        <v>467</v>
      </c>
      <c r="CD74" t="str">
        <f t="shared" si="69"/>
        <v>2 Tütün tabakasi güzel dokulu falan | Gelb XL | Français)BULLET-1</v>
      </c>
      <c r="CE74" t="str">
        <f t="shared" si="70"/>
        <v>2 Tütün tabakasi güzel dokulu falan | Gelb XL | Français)BULLET-2</v>
      </c>
      <c r="CF74" t="str">
        <f t="shared" si="71"/>
        <v>2 Tütün tabakasi güzel dokulu falan | Gelb XL | Français)BULLET-3</v>
      </c>
      <c r="CG74" t="str">
        <f t="shared" si="72"/>
        <v>2 Tütün tabakasi güzel dokulu falan | Gelb XL | Italiano)</v>
      </c>
      <c r="CH74" s="11" t="s">
        <v>468</v>
      </c>
      <c r="CI74" t="str">
        <f t="shared" si="73"/>
        <v>2 Tütün tabakasi güzel dokulu falan | Gelb XL | Italiano)BULLET-1</v>
      </c>
      <c r="CJ74" t="str">
        <f t="shared" si="74"/>
        <v>2 Tütün tabakasi güzel dokulu falan | Gelb XL | Italiano)BULLET-2</v>
      </c>
      <c r="CK74" t="str">
        <f t="shared" si="75"/>
        <v>2 Tütün tabakasi güzel dokulu falan | Gelb XL | Italiano)BULLET-3</v>
      </c>
      <c r="CL74" t="str">
        <f t="shared" si="76"/>
        <v>2 Tütün tabakasi güzel dokulu falan | Gelb XL | Español)</v>
      </c>
      <c r="CM74" s="11" t="s">
        <v>469</v>
      </c>
      <c r="CN74" t="str">
        <f t="shared" si="77"/>
        <v>2 Tütün tabakasi güzel dokulu falan | Gelb XL | Español)BULLET-1</v>
      </c>
      <c r="CO74" t="str">
        <f t="shared" si="78"/>
        <v>2 Tütün tabakasi güzel dokulu falan | Gelb XL | Español)BULLET-2</v>
      </c>
      <c r="CP74" t="str">
        <f t="shared" si="79"/>
        <v>2 Tütün tabakasi güzel dokulu falan | Gelb XL | Español)BULLET-3</v>
      </c>
      <c r="CQ74">
        <v>10</v>
      </c>
      <c r="CT74">
        <v>12</v>
      </c>
      <c r="CW74">
        <v>12</v>
      </c>
      <c r="CZ74">
        <v>14</v>
      </c>
      <c r="DC74">
        <v>16</v>
      </c>
      <c r="DF74">
        <v>18</v>
      </c>
      <c r="DI74">
        <f t="shared" si="80"/>
        <v>582</v>
      </c>
      <c r="DO74" t="str">
        <f t="shared" si="81"/>
        <v>2SEO1 Tütün tabakasi güzel dokulu falan | Gelb XL</v>
      </c>
      <c r="DP74" t="str">
        <f t="shared" si="83"/>
        <v>2SEO1 Tütün tabakasi güzel dokulu falan | Gelb XL DESCRIPTION</v>
      </c>
      <c r="DQ74" t="str">
        <f t="shared" si="84"/>
        <v>2SEO1 Tütün tabakasi güzel dokulu falan | Gelb XL KEYWORD</v>
      </c>
    </row>
    <row r="75" spans="1:121" ht="15" customHeight="1" x14ac:dyDescent="0.25">
      <c r="A75" t="s">
        <v>236</v>
      </c>
      <c r="B75" t="s">
        <v>354</v>
      </c>
      <c r="C75" t="s">
        <v>284</v>
      </c>
      <c r="D75" t="s">
        <v>228</v>
      </c>
      <c r="E75" s="9" t="s">
        <v>423</v>
      </c>
      <c r="F75">
        <v>50</v>
      </c>
      <c r="K75">
        <f t="shared" si="82"/>
        <v>119</v>
      </c>
      <c r="L75">
        <v>12</v>
      </c>
      <c r="M75">
        <v>3</v>
      </c>
      <c r="N75">
        <v>8</v>
      </c>
      <c r="O75" s="10" t="s">
        <v>446</v>
      </c>
      <c r="P75" s="10" t="s">
        <v>432</v>
      </c>
      <c r="T75" s="10" t="s">
        <v>446</v>
      </c>
      <c r="V75" t="s">
        <v>280</v>
      </c>
      <c r="X75" t="s">
        <v>283</v>
      </c>
      <c r="AG75" t="s">
        <v>266</v>
      </c>
      <c r="AH75">
        <v>200</v>
      </c>
      <c r="AI75" t="s">
        <v>456</v>
      </c>
      <c r="AJ75" t="s">
        <v>457</v>
      </c>
      <c r="AK75" t="s">
        <v>458</v>
      </c>
      <c r="AL75" t="s">
        <v>459</v>
      </c>
      <c r="AM75" t="s">
        <v>460</v>
      </c>
      <c r="AN75" t="s">
        <v>461</v>
      </c>
      <c r="AO75" t="s">
        <v>462</v>
      </c>
      <c r="AP75" t="s">
        <v>463</v>
      </c>
      <c r="BM75" t="str">
        <f t="shared" si="56"/>
        <v>2 Tütün tabakasi güzel dokulu falan | Lila XL | Deutsch)</v>
      </c>
      <c r="BN75" s="11" t="s">
        <v>464</v>
      </c>
      <c r="BO75" t="str">
        <f t="shared" si="57"/>
        <v>2 Tütün tabakasi güzel dokulu falan | Lila XL | Deutsch)BULLET-1</v>
      </c>
      <c r="BP75" t="str">
        <f t="shared" si="58"/>
        <v>2 Tütün tabakasi güzel dokulu falan | Lila XL | Deutsch)BULLET-2</v>
      </c>
      <c r="BQ75" t="str">
        <f t="shared" si="59"/>
        <v>2 Tütün tabakasi güzel dokulu falan | Lila XL | Deutsch)BULLET-3</v>
      </c>
      <c r="BR75" t="str">
        <f t="shared" si="60"/>
        <v>2 Tütün tabakasi güzel dokulu falan | Lila XL | English)</v>
      </c>
      <c r="BS75" s="11" t="s">
        <v>465</v>
      </c>
      <c r="BT75" t="str">
        <f t="shared" si="61"/>
        <v>2 Tütün tabakasi güzel dokulu falan | Lila XL | English)BULLET-1</v>
      </c>
      <c r="BU75" t="str">
        <f t="shared" si="62"/>
        <v>2 Tütün tabakasi güzel dokulu falan | Lila XL | English)BULLET-2</v>
      </c>
      <c r="BV75" t="str">
        <f t="shared" si="63"/>
        <v>2 Tütün tabakasi güzel dokulu falan | Lila XL | English)BULLET-3</v>
      </c>
      <c r="BW75" t="str">
        <f t="shared" si="64"/>
        <v>2 Tütün tabakasi güzel dokulu falan | Lila XL | Türkçe)</v>
      </c>
      <c r="BX75" s="11" t="s">
        <v>466</v>
      </c>
      <c r="BY75" t="str">
        <f t="shared" si="65"/>
        <v>2 Tütün tabakasi güzel dokulu falan | Lila XL | Türkçe)BULLET-1</v>
      </c>
      <c r="BZ75" t="str">
        <f t="shared" si="66"/>
        <v>2 Tütün tabakasi güzel dokulu falan | Lila XL | Türkçe)BULLET-2</v>
      </c>
      <c r="CA75" t="str">
        <f t="shared" si="67"/>
        <v>2 Tütün tabakasi güzel dokulu falan | Lila XL | Türkçe)BULLET-3</v>
      </c>
      <c r="CB75" t="str">
        <f t="shared" si="68"/>
        <v>2 Tütün tabakasi güzel dokulu falan | Lila XL | Français)</v>
      </c>
      <c r="CC75" s="11" t="s">
        <v>467</v>
      </c>
      <c r="CD75" t="str">
        <f t="shared" si="69"/>
        <v>2 Tütün tabakasi güzel dokulu falan | Lila XL | Français)BULLET-1</v>
      </c>
      <c r="CE75" t="str">
        <f t="shared" si="70"/>
        <v>2 Tütün tabakasi güzel dokulu falan | Lila XL | Français)BULLET-2</v>
      </c>
      <c r="CF75" t="str">
        <f t="shared" si="71"/>
        <v>2 Tütün tabakasi güzel dokulu falan | Lila XL | Français)BULLET-3</v>
      </c>
      <c r="CG75" t="str">
        <f t="shared" si="72"/>
        <v>2 Tütün tabakasi güzel dokulu falan | Lila XL | Italiano)</v>
      </c>
      <c r="CH75" s="11" t="s">
        <v>468</v>
      </c>
      <c r="CI75" t="str">
        <f t="shared" si="73"/>
        <v>2 Tütün tabakasi güzel dokulu falan | Lila XL | Italiano)BULLET-1</v>
      </c>
      <c r="CJ75" t="str">
        <f t="shared" si="74"/>
        <v>2 Tütün tabakasi güzel dokulu falan | Lila XL | Italiano)BULLET-2</v>
      </c>
      <c r="CK75" t="str">
        <f t="shared" si="75"/>
        <v>2 Tütün tabakasi güzel dokulu falan | Lila XL | Italiano)BULLET-3</v>
      </c>
      <c r="CL75" t="str">
        <f t="shared" si="76"/>
        <v>2 Tütün tabakasi güzel dokulu falan | Lila XL | Español)</v>
      </c>
      <c r="CM75" s="11" t="s">
        <v>469</v>
      </c>
      <c r="CN75" t="str">
        <f t="shared" si="77"/>
        <v>2 Tütün tabakasi güzel dokulu falan | Lila XL | Español)BULLET-1</v>
      </c>
      <c r="CO75" t="str">
        <f t="shared" si="78"/>
        <v>2 Tütün tabakasi güzel dokulu falan | Lila XL | Español)BULLET-2</v>
      </c>
      <c r="CP75" t="str">
        <f t="shared" si="79"/>
        <v>2 Tütün tabakasi güzel dokulu falan | Lila XL | Español)BULLET-3</v>
      </c>
      <c r="CQ75">
        <v>10</v>
      </c>
      <c r="CT75">
        <v>12</v>
      </c>
      <c r="CW75">
        <v>12</v>
      </c>
      <c r="CZ75">
        <v>14</v>
      </c>
      <c r="DC75">
        <v>16</v>
      </c>
      <c r="DF75">
        <v>18</v>
      </c>
      <c r="DI75">
        <f t="shared" si="80"/>
        <v>581</v>
      </c>
      <c r="DO75" t="str">
        <f t="shared" si="81"/>
        <v>2SEO1 Tütün tabakasi güzel dokulu falan | Lila XL</v>
      </c>
      <c r="DP75" t="str">
        <f t="shared" si="83"/>
        <v>2SEO1 Tütün tabakasi güzel dokulu falan | Lila XL DESCRIPTION</v>
      </c>
      <c r="DQ75" t="str">
        <f t="shared" si="84"/>
        <v>2SEO1 Tütün tabakasi güzel dokulu falan | Lila XL KEYWORD</v>
      </c>
    </row>
    <row r="76" spans="1:121" ht="15" customHeight="1" x14ac:dyDescent="0.25">
      <c r="A76" t="s">
        <v>236</v>
      </c>
      <c r="B76" t="s">
        <v>355</v>
      </c>
      <c r="C76" t="s">
        <v>284</v>
      </c>
      <c r="D76" t="s">
        <v>228</v>
      </c>
      <c r="E76" s="9" t="s">
        <v>424</v>
      </c>
      <c r="F76">
        <v>50</v>
      </c>
      <c r="K76">
        <f t="shared" si="82"/>
        <v>120</v>
      </c>
      <c r="L76">
        <v>12</v>
      </c>
      <c r="M76">
        <v>3</v>
      </c>
      <c r="N76">
        <v>8</v>
      </c>
      <c r="O76" s="10" t="s">
        <v>447</v>
      </c>
      <c r="P76" s="10" t="s">
        <v>432</v>
      </c>
      <c r="T76" s="10" t="s">
        <v>447</v>
      </c>
      <c r="V76" t="s">
        <v>281</v>
      </c>
      <c r="X76" t="s">
        <v>283</v>
      </c>
      <c r="AG76" t="s">
        <v>266</v>
      </c>
      <c r="AH76">
        <v>200</v>
      </c>
      <c r="AI76" t="s">
        <v>456</v>
      </c>
      <c r="AJ76" t="s">
        <v>457</v>
      </c>
      <c r="AK76" t="s">
        <v>458</v>
      </c>
      <c r="AL76" t="s">
        <v>459</v>
      </c>
      <c r="AM76" t="s">
        <v>460</v>
      </c>
      <c r="AN76" t="s">
        <v>461</v>
      </c>
      <c r="AO76" t="s">
        <v>462</v>
      </c>
      <c r="AP76" t="s">
        <v>463</v>
      </c>
      <c r="BM76" t="str">
        <f t="shared" si="56"/>
        <v>2 Tütün tabakasi güzel dokulu falan | Braun XL | Deutsch)</v>
      </c>
      <c r="BN76" s="11" t="s">
        <v>464</v>
      </c>
      <c r="BO76" t="str">
        <f t="shared" si="57"/>
        <v>2 Tütün tabakasi güzel dokulu falan | Braun XL | Deutsch)BULLET-1</v>
      </c>
      <c r="BP76" t="str">
        <f t="shared" si="58"/>
        <v>2 Tütün tabakasi güzel dokulu falan | Braun XL | Deutsch)BULLET-2</v>
      </c>
      <c r="BQ76" t="str">
        <f t="shared" si="59"/>
        <v>2 Tütün tabakasi güzel dokulu falan | Braun XL | Deutsch)BULLET-3</v>
      </c>
      <c r="BR76" t="str">
        <f t="shared" si="60"/>
        <v>2 Tütün tabakasi güzel dokulu falan | Braun XL | English)</v>
      </c>
      <c r="BS76" s="11" t="s">
        <v>465</v>
      </c>
      <c r="BT76" t="str">
        <f t="shared" si="61"/>
        <v>2 Tütün tabakasi güzel dokulu falan | Braun XL | English)BULLET-1</v>
      </c>
      <c r="BU76" t="str">
        <f t="shared" si="62"/>
        <v>2 Tütün tabakasi güzel dokulu falan | Braun XL | English)BULLET-2</v>
      </c>
      <c r="BV76" t="str">
        <f t="shared" si="63"/>
        <v>2 Tütün tabakasi güzel dokulu falan | Braun XL | English)BULLET-3</v>
      </c>
      <c r="BW76" t="str">
        <f t="shared" si="64"/>
        <v>2 Tütün tabakasi güzel dokulu falan | Braun XL | Türkçe)</v>
      </c>
      <c r="BX76" s="11" t="s">
        <v>466</v>
      </c>
      <c r="BY76" t="str">
        <f t="shared" si="65"/>
        <v>2 Tütün tabakasi güzel dokulu falan | Braun XL | Türkçe)BULLET-1</v>
      </c>
      <c r="BZ76" t="str">
        <f t="shared" si="66"/>
        <v>2 Tütün tabakasi güzel dokulu falan | Braun XL | Türkçe)BULLET-2</v>
      </c>
      <c r="CA76" t="str">
        <f t="shared" si="67"/>
        <v>2 Tütün tabakasi güzel dokulu falan | Braun XL | Türkçe)BULLET-3</v>
      </c>
      <c r="CB76" t="str">
        <f t="shared" si="68"/>
        <v>2 Tütün tabakasi güzel dokulu falan | Braun XL | Français)</v>
      </c>
      <c r="CC76" s="11" t="s">
        <v>467</v>
      </c>
      <c r="CD76" t="str">
        <f t="shared" si="69"/>
        <v>2 Tütün tabakasi güzel dokulu falan | Braun XL | Français)BULLET-1</v>
      </c>
      <c r="CE76" t="str">
        <f t="shared" si="70"/>
        <v>2 Tütün tabakasi güzel dokulu falan | Braun XL | Français)BULLET-2</v>
      </c>
      <c r="CF76" t="str">
        <f t="shared" si="71"/>
        <v>2 Tütün tabakasi güzel dokulu falan | Braun XL | Français)BULLET-3</v>
      </c>
      <c r="CG76" t="str">
        <f t="shared" si="72"/>
        <v>2 Tütün tabakasi güzel dokulu falan | Braun XL | Italiano)</v>
      </c>
      <c r="CH76" s="11" t="s">
        <v>468</v>
      </c>
      <c r="CI76" t="str">
        <f t="shared" si="73"/>
        <v>2 Tütün tabakasi güzel dokulu falan | Braun XL | Italiano)BULLET-1</v>
      </c>
      <c r="CJ76" t="str">
        <f t="shared" si="74"/>
        <v>2 Tütün tabakasi güzel dokulu falan | Braun XL | Italiano)BULLET-2</v>
      </c>
      <c r="CK76" t="str">
        <f t="shared" si="75"/>
        <v>2 Tütün tabakasi güzel dokulu falan | Braun XL | Italiano)BULLET-3</v>
      </c>
      <c r="CL76" t="str">
        <f t="shared" si="76"/>
        <v>2 Tütün tabakasi güzel dokulu falan | Braun XL | Español)</v>
      </c>
      <c r="CM76" s="11" t="s">
        <v>469</v>
      </c>
      <c r="CN76" t="str">
        <f t="shared" si="77"/>
        <v>2 Tütün tabakasi güzel dokulu falan | Braun XL | Español)BULLET-1</v>
      </c>
      <c r="CO76" t="str">
        <f t="shared" si="78"/>
        <v>2 Tütün tabakasi güzel dokulu falan | Braun XL | Español)BULLET-2</v>
      </c>
      <c r="CP76" t="str">
        <f t="shared" si="79"/>
        <v>2 Tütün tabakasi güzel dokulu falan | Braun XL | Español)BULLET-3</v>
      </c>
      <c r="CQ76">
        <v>10</v>
      </c>
      <c r="CT76">
        <v>12</v>
      </c>
      <c r="CW76">
        <v>12</v>
      </c>
      <c r="CZ76">
        <v>14</v>
      </c>
      <c r="DC76">
        <v>16</v>
      </c>
      <c r="DF76">
        <v>18</v>
      </c>
      <c r="DI76">
        <f t="shared" si="80"/>
        <v>580</v>
      </c>
      <c r="DO76" t="str">
        <f t="shared" si="81"/>
        <v>2SEO1 Tütün tabakasi güzel dokulu falan | Braun XL</v>
      </c>
      <c r="DP76" t="str">
        <f t="shared" si="83"/>
        <v>2SEO1 Tütün tabakasi güzel dokulu falan | Braun XL DESCRIPTION</v>
      </c>
      <c r="DQ76" t="str">
        <f t="shared" si="84"/>
        <v>2SEO1 Tütün tabakasi güzel dokulu falan | Braun XL KEYWORD</v>
      </c>
    </row>
    <row r="77" spans="1:121" ht="15" customHeight="1" x14ac:dyDescent="0.25">
      <c r="A77" t="s">
        <v>236</v>
      </c>
      <c r="B77" t="s">
        <v>356</v>
      </c>
      <c r="C77" t="s">
        <v>284</v>
      </c>
      <c r="D77" t="s">
        <v>228</v>
      </c>
      <c r="E77" s="9" t="s">
        <v>425</v>
      </c>
      <c r="F77">
        <v>50</v>
      </c>
      <c r="K77">
        <f t="shared" si="82"/>
        <v>121</v>
      </c>
      <c r="L77">
        <v>12</v>
      </c>
      <c r="M77">
        <v>3</v>
      </c>
      <c r="N77">
        <v>8</v>
      </c>
      <c r="O77" s="10" t="s">
        <v>440</v>
      </c>
      <c r="P77" s="10" t="s">
        <v>432</v>
      </c>
      <c r="T77" s="10" t="s">
        <v>440</v>
      </c>
      <c r="V77" t="s">
        <v>282</v>
      </c>
      <c r="X77" t="s">
        <v>283</v>
      </c>
      <c r="AG77" t="s">
        <v>266</v>
      </c>
      <c r="AH77">
        <v>200</v>
      </c>
      <c r="AI77" t="s">
        <v>456</v>
      </c>
      <c r="AJ77" t="s">
        <v>457</v>
      </c>
      <c r="AK77" t="s">
        <v>458</v>
      </c>
      <c r="AL77" t="s">
        <v>459</v>
      </c>
      <c r="AM77" t="s">
        <v>460</v>
      </c>
      <c r="AN77" t="s">
        <v>461</v>
      </c>
      <c r="AO77" t="s">
        <v>462</v>
      </c>
      <c r="AP77" t="s">
        <v>463</v>
      </c>
      <c r="BM77" t="str">
        <f t="shared" si="56"/>
        <v>2 Tütün tabakasi güzel dokulu falan | Rosa XL | Deutsch)</v>
      </c>
      <c r="BN77" s="11" t="s">
        <v>464</v>
      </c>
      <c r="BO77" t="str">
        <f t="shared" si="57"/>
        <v>2 Tütün tabakasi güzel dokulu falan | Rosa XL | Deutsch)BULLET-1</v>
      </c>
      <c r="BP77" t="str">
        <f t="shared" si="58"/>
        <v>2 Tütün tabakasi güzel dokulu falan | Rosa XL | Deutsch)BULLET-2</v>
      </c>
      <c r="BQ77" t="str">
        <f t="shared" si="59"/>
        <v>2 Tütün tabakasi güzel dokulu falan | Rosa XL | Deutsch)BULLET-3</v>
      </c>
      <c r="BR77" t="str">
        <f t="shared" si="60"/>
        <v>2 Tütün tabakasi güzel dokulu falan | Rosa XL | English)</v>
      </c>
      <c r="BS77" s="11" t="s">
        <v>465</v>
      </c>
      <c r="BT77" t="str">
        <f t="shared" si="61"/>
        <v>2 Tütün tabakasi güzel dokulu falan | Rosa XL | English)BULLET-1</v>
      </c>
      <c r="BU77" t="str">
        <f t="shared" si="62"/>
        <v>2 Tütün tabakasi güzel dokulu falan | Rosa XL | English)BULLET-2</v>
      </c>
      <c r="BV77" t="str">
        <f t="shared" si="63"/>
        <v>2 Tütün tabakasi güzel dokulu falan | Rosa XL | English)BULLET-3</v>
      </c>
      <c r="BW77" t="str">
        <f t="shared" si="64"/>
        <v>2 Tütün tabakasi güzel dokulu falan | Rosa XL | Türkçe)</v>
      </c>
      <c r="BX77" s="11" t="s">
        <v>466</v>
      </c>
      <c r="BY77" t="str">
        <f t="shared" si="65"/>
        <v>2 Tütün tabakasi güzel dokulu falan | Rosa XL | Türkçe)BULLET-1</v>
      </c>
      <c r="BZ77" t="str">
        <f t="shared" si="66"/>
        <v>2 Tütün tabakasi güzel dokulu falan | Rosa XL | Türkçe)BULLET-2</v>
      </c>
      <c r="CA77" t="str">
        <f t="shared" si="67"/>
        <v>2 Tütün tabakasi güzel dokulu falan | Rosa XL | Türkçe)BULLET-3</v>
      </c>
      <c r="CB77" t="str">
        <f t="shared" si="68"/>
        <v>2 Tütün tabakasi güzel dokulu falan | Rosa XL | Français)</v>
      </c>
      <c r="CC77" s="11" t="s">
        <v>467</v>
      </c>
      <c r="CD77" t="str">
        <f t="shared" si="69"/>
        <v>2 Tütün tabakasi güzel dokulu falan | Rosa XL | Français)BULLET-1</v>
      </c>
      <c r="CE77" t="str">
        <f t="shared" si="70"/>
        <v>2 Tütün tabakasi güzel dokulu falan | Rosa XL | Français)BULLET-2</v>
      </c>
      <c r="CF77" t="str">
        <f t="shared" si="71"/>
        <v>2 Tütün tabakasi güzel dokulu falan | Rosa XL | Français)BULLET-3</v>
      </c>
      <c r="CG77" t="str">
        <f t="shared" si="72"/>
        <v>2 Tütün tabakasi güzel dokulu falan | Rosa XL | Italiano)</v>
      </c>
      <c r="CH77" s="11" t="s">
        <v>468</v>
      </c>
      <c r="CI77" t="str">
        <f t="shared" si="73"/>
        <v>2 Tütün tabakasi güzel dokulu falan | Rosa XL | Italiano)BULLET-1</v>
      </c>
      <c r="CJ77" t="str">
        <f t="shared" si="74"/>
        <v>2 Tütün tabakasi güzel dokulu falan | Rosa XL | Italiano)BULLET-2</v>
      </c>
      <c r="CK77" t="str">
        <f t="shared" si="75"/>
        <v>2 Tütün tabakasi güzel dokulu falan | Rosa XL | Italiano)BULLET-3</v>
      </c>
      <c r="CL77" t="str">
        <f t="shared" si="76"/>
        <v>2 Tütün tabakasi güzel dokulu falan | Rosa XL | Español)</v>
      </c>
      <c r="CM77" s="11" t="s">
        <v>469</v>
      </c>
      <c r="CN77" t="str">
        <f t="shared" si="77"/>
        <v>2 Tütün tabakasi güzel dokulu falan | Rosa XL | Español)BULLET-1</v>
      </c>
      <c r="CO77" t="str">
        <f t="shared" si="78"/>
        <v>2 Tütün tabakasi güzel dokulu falan | Rosa XL | Español)BULLET-2</v>
      </c>
      <c r="CP77" t="str">
        <f t="shared" si="79"/>
        <v>2 Tütün tabakasi güzel dokulu falan | Rosa XL | Español)BULLET-3</v>
      </c>
      <c r="CQ77">
        <v>10</v>
      </c>
      <c r="CT77">
        <v>12</v>
      </c>
      <c r="CW77">
        <v>12</v>
      </c>
      <c r="CZ77">
        <v>14</v>
      </c>
      <c r="DC77">
        <v>16</v>
      </c>
      <c r="DF77">
        <v>18</v>
      </c>
      <c r="DI77">
        <f t="shared" si="80"/>
        <v>579</v>
      </c>
      <c r="DO77" t="str">
        <f t="shared" si="81"/>
        <v>2SEO1 Tütün tabakasi güzel dokulu falan | Rosa XL</v>
      </c>
      <c r="DP77" t="str">
        <f t="shared" si="83"/>
        <v>2SEO1 Tütün tabakasi güzel dokulu falan | Rosa XL DESCRIPTION</v>
      </c>
      <c r="DQ77" t="str">
        <f t="shared" si="84"/>
        <v>2SEO1 Tütün tabakasi güzel dokulu falan | Rosa XL KEYWORD</v>
      </c>
    </row>
  </sheetData>
  <mergeCells count="17">
    <mergeCell ref="DL1:DN1"/>
    <mergeCell ref="DO1:DQ1"/>
    <mergeCell ref="CW1:CY1"/>
    <mergeCell ref="CZ1:DB1"/>
    <mergeCell ref="DC1:DE1"/>
    <mergeCell ref="DF1:DH1"/>
    <mergeCell ref="DI1:DK1"/>
    <mergeCell ref="CB1:CF1"/>
    <mergeCell ref="CG1:CK1"/>
    <mergeCell ref="CL1:CP1"/>
    <mergeCell ref="CQ1:CS1"/>
    <mergeCell ref="CT1:CV1"/>
    <mergeCell ref="A1:AH1"/>
    <mergeCell ref="AI1:BL1"/>
    <mergeCell ref="BM1:BQ1"/>
    <mergeCell ref="BR1:BV1"/>
    <mergeCell ref="BW1:CA1"/>
  </mergeCells>
  <hyperlinks>
    <hyperlink ref="O5" r:id="rId1" xr:uid="{DC10008C-D461-4E40-8FF4-3AEBA2D01E17}"/>
    <hyperlink ref="P5" r:id="rId2" xr:uid="{3716CC65-5484-426D-A794-B95BA00972D6}"/>
    <hyperlink ref="T5" r:id="rId3" xr:uid="{B6008581-AD3A-45D2-B219-43A79687E353}"/>
    <hyperlink ref="O6" r:id="rId4" xr:uid="{50B353B2-6439-406D-B191-FDC9FDE07FBF}"/>
    <hyperlink ref="P6:P7" r:id="rId5" display="https://m.media-amazon.com/images/I/61eQRHX+22L._AC_SL1500_.jpg" xr:uid="{CAD3EB27-1B65-437B-9E76-0DD3BA2F6A0B}"/>
    <hyperlink ref="P8" r:id="rId6" xr:uid="{6A275FBB-F6D0-4725-BD66-B46CF1EE2482}"/>
    <hyperlink ref="P9" r:id="rId7" xr:uid="{2B1FED8B-CA0B-445D-8A7B-1281463A53EF}"/>
    <hyperlink ref="P10" r:id="rId8" xr:uid="{F00C4205-F2CC-4686-9284-4CC70B999769}"/>
    <hyperlink ref="P11" r:id="rId9" xr:uid="{3A2644A8-356D-4D52-B7EE-A52A3D574471}"/>
    <hyperlink ref="P12" r:id="rId10" xr:uid="{4A518BC3-E3F8-4035-A0FF-9D16FE416D01}"/>
    <hyperlink ref="P13" r:id="rId11" xr:uid="{12EC3538-1F37-4AD9-B60E-C4DB1CD09C4B}"/>
    <hyperlink ref="P14" r:id="rId12" xr:uid="{A620C0D5-D900-4566-A2B0-45A0F0AFE490}"/>
    <hyperlink ref="P15" r:id="rId13" xr:uid="{2343B996-573B-4387-A3DF-E9D469F059AE}"/>
    <hyperlink ref="P16" r:id="rId14" xr:uid="{E3459EA6-55E0-4F38-A7CD-20948C376555}"/>
    <hyperlink ref="P17" r:id="rId15" xr:uid="{AC090027-4278-4ADD-A31F-27708ECADF3B}"/>
    <hyperlink ref="P18" r:id="rId16" xr:uid="{5D19D375-2741-431C-96E5-99195F36B253}"/>
    <hyperlink ref="P19" r:id="rId17" xr:uid="{0C88FBF6-576F-4986-B829-6A237268B5B5}"/>
    <hyperlink ref="P20" r:id="rId18" xr:uid="{BDB74949-97EA-4B6D-B8F4-1FBDDEF13D1F}"/>
    <hyperlink ref="P21" r:id="rId19" xr:uid="{EB44B52B-08EB-421C-8B45-4A756D3489E5}"/>
    <hyperlink ref="P22" r:id="rId20" xr:uid="{809B4530-685B-4E00-8CD0-547F0DA1172A}"/>
    <hyperlink ref="P23" r:id="rId21" xr:uid="{D0AA2318-AB8D-44F4-8B82-1BCB01B96668}"/>
    <hyperlink ref="P24" r:id="rId22" xr:uid="{E7D2FB55-B5B5-472C-86F8-E3A3424B3B73}"/>
    <hyperlink ref="P25" r:id="rId23" xr:uid="{4E495EBD-B766-4367-8709-ACD448342F35}"/>
    <hyperlink ref="P26" r:id="rId24" xr:uid="{AB4C0FB6-C5CE-4733-A98C-C407C43F653D}"/>
    <hyperlink ref="P27" r:id="rId25" xr:uid="{F9259D51-4098-4B21-854E-B9E09FC6695D}"/>
    <hyperlink ref="P28" r:id="rId26" xr:uid="{82F0BF4F-44C8-42B0-85FC-3590CF108757}"/>
    <hyperlink ref="P29" r:id="rId27" xr:uid="{6F0DDE63-CAD4-4ADE-95CA-A4A085F370AB}"/>
    <hyperlink ref="P30" r:id="rId28" xr:uid="{C5C297E4-B6F4-43E7-8CD5-8D019E96106A}"/>
    <hyperlink ref="P31" r:id="rId29" xr:uid="{479D4397-07F6-4484-A6D3-5D8E120A7A70}"/>
    <hyperlink ref="P32" r:id="rId30" xr:uid="{5B3830A1-2CB9-4D18-B6DF-D869679D7CA4}"/>
    <hyperlink ref="P33" r:id="rId31" xr:uid="{3467E4E1-9C7D-44AE-B5CF-76A026F27007}"/>
    <hyperlink ref="P34" r:id="rId32" xr:uid="{10A9650B-1648-406C-ADC7-5A0DE019B9FA}"/>
    <hyperlink ref="P35" r:id="rId33" xr:uid="{6160D544-54CC-47CE-8BB8-0C7DED6A08D2}"/>
    <hyperlink ref="P36" r:id="rId34" xr:uid="{00B479E7-E382-4F71-928A-AC0721AC1788}"/>
    <hyperlink ref="P37" r:id="rId35" xr:uid="{291009EC-96AC-44EB-A370-1353CE887A7E}"/>
    <hyperlink ref="P38" r:id="rId36" xr:uid="{8EBBE6FB-9693-4730-B4D0-310332589068}"/>
    <hyperlink ref="P39" r:id="rId37" xr:uid="{B9AD69C9-7C7D-4393-B526-680142800857}"/>
    <hyperlink ref="P40" r:id="rId38" xr:uid="{44D54E2A-B7DB-45FF-8DBE-2F0A07A8F4D6}"/>
    <hyperlink ref="O42" r:id="rId39" xr:uid="{21FCA813-EF69-4D7F-B993-7FC77DA5F72A}"/>
    <hyperlink ref="P42" r:id="rId40" xr:uid="{0CB2E810-520B-4358-B419-43E16322F304}"/>
    <hyperlink ref="P43" r:id="rId41" xr:uid="{499B8EE4-F285-48B1-A9DA-EBDB65ACFF05}"/>
    <hyperlink ref="P44" r:id="rId42" xr:uid="{157A7ABC-C5CF-4631-88A6-E48E8E7C7966}"/>
    <hyperlink ref="P45" r:id="rId43" xr:uid="{FF001382-DA38-414F-9F88-757ED972F13B}"/>
    <hyperlink ref="P46" r:id="rId44" xr:uid="{5C2E3404-AF74-4BA6-8076-A7CD56106C45}"/>
    <hyperlink ref="P47" r:id="rId45" xr:uid="{A723043B-405C-410C-B966-62C3B09EFB0C}"/>
    <hyperlink ref="P48" r:id="rId46" xr:uid="{230BD92F-2430-4730-A543-7D33409F6FE1}"/>
    <hyperlink ref="P49" r:id="rId47" xr:uid="{ED43F63F-FFBC-496C-A90F-6AD9B6D69B2C}"/>
    <hyperlink ref="P50" r:id="rId48" xr:uid="{74C7C79C-676C-4214-B209-A629834F5C07}"/>
    <hyperlink ref="P51" r:id="rId49" xr:uid="{2D951CE7-6509-4DA3-A065-AF933B09EC22}"/>
    <hyperlink ref="P52" r:id="rId50" xr:uid="{48AB8B63-0400-4AC1-AB52-7D50D48FD9DE}"/>
    <hyperlink ref="P53" r:id="rId51" xr:uid="{3BD1E263-0A29-473C-9D24-9737EE325129}"/>
    <hyperlink ref="P54" r:id="rId52" xr:uid="{FDE52EFE-B8ED-47BB-8794-6E86B3D5455F}"/>
    <hyperlink ref="P55" r:id="rId53" xr:uid="{65BE9E3C-6B49-4B24-884F-472DE63AF24D}"/>
    <hyperlink ref="P56" r:id="rId54" xr:uid="{0907B570-6C70-4E85-B988-FCCE39204B94}"/>
    <hyperlink ref="P57" r:id="rId55" xr:uid="{DE9CCCB3-2351-41CF-BD63-D0E3DB1E0FF0}"/>
    <hyperlink ref="P58" r:id="rId56" xr:uid="{902D6B18-E782-43E9-A237-6EB268D7C3C3}"/>
    <hyperlink ref="P59" r:id="rId57" xr:uid="{21170AB6-7DC1-498F-B7C9-792AD6A296EC}"/>
    <hyperlink ref="P60" r:id="rId58" xr:uid="{74E1F5E0-D8A0-4D84-8D4B-C38FDE7796C3}"/>
    <hyperlink ref="P61" r:id="rId59" xr:uid="{8CC4286E-04B4-418F-88AB-97C5CE42D9C7}"/>
    <hyperlink ref="P62" r:id="rId60" xr:uid="{06AE0745-8302-4084-9191-BC9E793695B3}"/>
    <hyperlink ref="P63" r:id="rId61" xr:uid="{26496A5E-7051-488A-8329-0C9EAF6027CE}"/>
    <hyperlink ref="P64" r:id="rId62" xr:uid="{6788AFFF-DA53-42FB-BECC-D41136763062}"/>
    <hyperlink ref="P65" r:id="rId63" xr:uid="{327CE3C2-CFFC-4C58-B4C8-97B50F740C20}"/>
    <hyperlink ref="P66" r:id="rId64" xr:uid="{15B2C6C2-98E2-4C92-9A12-806D0CD31BD2}"/>
    <hyperlink ref="P67" r:id="rId65" xr:uid="{EF90174F-0A42-4442-B3BB-B408870C81DA}"/>
    <hyperlink ref="P68" r:id="rId66" xr:uid="{2DFC9024-61F9-48CE-815E-E424799383FE}"/>
    <hyperlink ref="P69" r:id="rId67" xr:uid="{BFE0ACF3-B324-4CC6-82CE-7C08AD9F7401}"/>
    <hyperlink ref="P70" r:id="rId68" xr:uid="{DCC7AB1B-93EB-4C80-A66C-79458591390D}"/>
    <hyperlink ref="P71" r:id="rId69" xr:uid="{5E41E2FD-5D03-4550-8C1C-3C6E3C24A55B}"/>
    <hyperlink ref="P72" r:id="rId70" xr:uid="{AF8408CC-7448-4FCC-B7DF-DD8B15B0BFAA}"/>
    <hyperlink ref="P73" r:id="rId71" xr:uid="{F54E5A2E-E9F9-4172-BB69-63DE00963983}"/>
    <hyperlink ref="P74" r:id="rId72" xr:uid="{6319635D-259C-40C1-86D7-A1E82EBB5D7C}"/>
    <hyperlink ref="P75" r:id="rId73" xr:uid="{11DADCB4-8830-4DBD-8B83-37D1F4CDFF79}"/>
    <hyperlink ref="P76" r:id="rId74" xr:uid="{86EE3715-FCDF-4D82-8D2F-917AB6BA7CE3}"/>
    <hyperlink ref="P77" r:id="rId75" xr:uid="{51C7C67E-621B-4832-AA04-C788B55F9CF2}"/>
    <hyperlink ref="O7" r:id="rId76" xr:uid="{2CBEA548-DB9E-4420-8946-A0733D0CA308}"/>
    <hyperlink ref="O8" r:id="rId77" xr:uid="{EA0312F1-F8F7-46BB-809E-B298C2E10541}"/>
    <hyperlink ref="O9" r:id="rId78" xr:uid="{289485A2-3110-460C-A2ED-5B9B53EF0E01}"/>
    <hyperlink ref="O10" r:id="rId79" xr:uid="{08A8AD93-D3C3-441A-9F30-00E599EF67CE}"/>
    <hyperlink ref="O11" r:id="rId80" xr:uid="{D1064B9F-6EE7-4968-8690-59C2DBA95314}"/>
    <hyperlink ref="O12" r:id="rId81" xr:uid="{1491B0C7-5880-4E19-B8F9-25FD538F5110}"/>
    <hyperlink ref="O13" r:id="rId82" xr:uid="{FC2CF7BB-5400-4099-8E3F-0D5A9081DFE8}"/>
    <hyperlink ref="O14" r:id="rId83" xr:uid="{E1D17250-BC83-4A85-B272-97310213D2A7}"/>
    <hyperlink ref="O23" r:id="rId84" xr:uid="{FA562EC4-9F47-4A81-B6BC-542A48C28D9D}"/>
    <hyperlink ref="O32" r:id="rId85" xr:uid="{076AB654-D172-4469-91A3-DAE3E75AC7BD}"/>
    <hyperlink ref="O15" r:id="rId86" xr:uid="{800AD352-3603-4436-9BAD-F849F7983CE2}"/>
    <hyperlink ref="O24" r:id="rId87" xr:uid="{0EFEBD74-6FA7-4772-932B-2328044D3C67}"/>
    <hyperlink ref="O33" r:id="rId88" xr:uid="{2E96D0F8-81B1-4D0B-BEF9-916759E7A5CC}"/>
    <hyperlink ref="O16" r:id="rId89" xr:uid="{1F464254-CB3E-49CB-B81E-E534D6D75FA7}"/>
    <hyperlink ref="O25" r:id="rId90" xr:uid="{44B94D05-5755-4E60-AD15-D25CA4286C0D}"/>
    <hyperlink ref="O34" r:id="rId91" xr:uid="{2183164A-F4E0-4283-B1B3-98BF8387BEB5}"/>
    <hyperlink ref="O17" r:id="rId92" xr:uid="{E3790EBA-AB88-4746-925C-120BFD4106E6}"/>
    <hyperlink ref="O26" r:id="rId93" xr:uid="{C5F80551-4423-4D82-97F0-A0B629A80EB1}"/>
    <hyperlink ref="O35" r:id="rId94" xr:uid="{9880F384-9FA5-45C3-B84F-259A138D2148}"/>
    <hyperlink ref="O18" r:id="rId95" xr:uid="{376AB289-F201-4D74-B724-5ED257B53528}"/>
    <hyperlink ref="O27" r:id="rId96" xr:uid="{B96289D2-7DEC-4ED8-8AD4-7C73E10100F0}"/>
    <hyperlink ref="O36" r:id="rId97" xr:uid="{0DA99221-304E-4C46-84C9-27C8D1951D46}"/>
    <hyperlink ref="O19" r:id="rId98" xr:uid="{12A7F168-A096-4157-B6DD-78C8F44E3408}"/>
    <hyperlink ref="O28" r:id="rId99" xr:uid="{E611A312-3581-4F13-A1C8-D02FF15C4CC9}"/>
    <hyperlink ref="O37" r:id="rId100" xr:uid="{F4407BB1-432C-4F06-B3D3-052FD19F7524}"/>
    <hyperlink ref="O20" r:id="rId101" xr:uid="{08F6A719-84F2-49F5-AF87-0005B00C29F4}"/>
    <hyperlink ref="O29" r:id="rId102" xr:uid="{0F3CD7FF-2E07-4B79-8548-793058F11B08}"/>
    <hyperlink ref="O38" r:id="rId103" xr:uid="{C74F944E-5AB0-420D-8F0F-1A8A7FFAF823}"/>
    <hyperlink ref="O21" r:id="rId104" xr:uid="{FFCF8635-43B2-4B22-8C47-45A8E54F3E79}"/>
    <hyperlink ref="O30" r:id="rId105" xr:uid="{4D535D9B-F3C8-4B6B-9B41-08E8803FC505}"/>
    <hyperlink ref="O39" r:id="rId106" xr:uid="{A02C7C93-10D1-466F-8D9F-14616EA65DF8}"/>
    <hyperlink ref="O22" r:id="rId107" xr:uid="{6D9F6684-FD1B-44A7-A8EA-9F6124FF63DB}"/>
    <hyperlink ref="O31" r:id="rId108" xr:uid="{FDBFBB09-C4AD-4A5F-8ABC-7A7DEA31E4D3}"/>
    <hyperlink ref="O40" r:id="rId109" xr:uid="{6E6ED7F8-A5B7-4CCF-8747-274D29BF1AF3}"/>
    <hyperlink ref="O50" r:id="rId110" xr:uid="{6DF22B7B-D724-4E98-BFF5-9B8DAAFBD7EE}"/>
    <hyperlink ref="O43" r:id="rId111" xr:uid="{D1B3C597-B194-49E1-B877-DE4201AFBC73}"/>
    <hyperlink ref="O44" r:id="rId112" xr:uid="{875A100C-FDF7-48C2-9A6D-A14D92EDCCFC}"/>
    <hyperlink ref="O45" r:id="rId113" xr:uid="{F8AA7620-380C-4767-80E1-6F03A59634E2}"/>
    <hyperlink ref="O46" r:id="rId114" xr:uid="{7E023DAA-6FDE-4D5C-8D68-310EE09A586F}"/>
    <hyperlink ref="O47" r:id="rId115" xr:uid="{220BCE84-F7D3-42E8-AA26-41CF0E7DCEA5}"/>
    <hyperlink ref="O48" r:id="rId116" xr:uid="{EDF70A77-637C-4BC2-BBF6-46867608EF06}"/>
    <hyperlink ref="O49" r:id="rId117" xr:uid="{944BA060-C387-40BF-B68E-69D4A79D08A7}"/>
    <hyperlink ref="T42" r:id="rId118" xr:uid="{10F1A9E4-502C-4D59-A135-EA78A6B0C781}"/>
    <hyperlink ref="T50" r:id="rId119" xr:uid="{8511BC16-EE0C-4658-9DDC-1CD0F31838C4}"/>
    <hyperlink ref="T43" r:id="rId120" xr:uid="{3492D45B-809D-478E-86A3-1F2746094B40}"/>
    <hyperlink ref="T44" r:id="rId121" xr:uid="{E5AD42DD-5601-4B98-982A-2DF74882632A}"/>
    <hyperlink ref="T45" r:id="rId122" xr:uid="{06F2FE8F-E9B7-431A-8501-02E9B376CF3D}"/>
    <hyperlink ref="T46" r:id="rId123" xr:uid="{2C8CA23D-6ACB-48ED-87CE-36F0752EC670}"/>
    <hyperlink ref="T47" r:id="rId124" xr:uid="{4EC14807-A897-4526-9E79-51E58E74AB7B}"/>
    <hyperlink ref="T48" r:id="rId125" xr:uid="{189793EA-1157-49A9-9ACA-AB794C562E6B}"/>
    <hyperlink ref="T49" r:id="rId126" xr:uid="{366A0CE0-7989-456A-B48A-ECDA66C863B7}"/>
    <hyperlink ref="O51" r:id="rId127" xr:uid="{5C4D3B87-4A55-4292-A5BB-1B68D2BAB3CA}"/>
    <hyperlink ref="O60" r:id="rId128" xr:uid="{7BD95DF6-6706-4CF5-90C7-F5BA44053675}"/>
    <hyperlink ref="O69" r:id="rId129" xr:uid="{25D3B33C-FCDA-4452-876B-4AA4E87B9C23}"/>
    <hyperlink ref="O59" r:id="rId130" xr:uid="{9D98B774-1750-4097-A767-7E5D54BC1073}"/>
    <hyperlink ref="O68" r:id="rId131" xr:uid="{8FFE37A6-5F82-4636-8820-1CA44A823325}"/>
    <hyperlink ref="O77" r:id="rId132" xr:uid="{F399D51E-9A9C-46E9-AC90-A4044BB7668C}"/>
    <hyperlink ref="O52" r:id="rId133" xr:uid="{A3B0DA17-D080-4358-8F49-A3BAF018D539}"/>
    <hyperlink ref="O61" r:id="rId134" xr:uid="{AD2385F5-3F65-4254-81B6-9AF6592BB0BF}"/>
    <hyperlink ref="O70" r:id="rId135" xr:uid="{C3C613A5-8927-4CD6-BE84-223C36C1B8E0}"/>
    <hyperlink ref="O53" r:id="rId136" xr:uid="{AB994916-2BC2-4A6F-85E9-FBDD41451F0F}"/>
    <hyperlink ref="O62" r:id="rId137" xr:uid="{6DFE2812-AFE9-4D56-9570-43D63960FD8F}"/>
    <hyperlink ref="O71" r:id="rId138" xr:uid="{184A57BB-760A-437D-B987-E696D0CCFC8A}"/>
    <hyperlink ref="O54" r:id="rId139" xr:uid="{D6C95E38-63D3-41C6-9F4F-0E8DEA29ADD6}"/>
    <hyperlink ref="O63" r:id="rId140" xr:uid="{F609757C-DA96-419F-A748-089DD3DF8EFC}"/>
    <hyperlink ref="O72" r:id="rId141" xr:uid="{CAC6BD74-8415-4E83-9E3E-CE1902242726}"/>
    <hyperlink ref="O55" r:id="rId142" xr:uid="{A662E54E-3B83-4FC8-A93F-961F00B8314D}"/>
    <hyperlink ref="O64" r:id="rId143" xr:uid="{7F199A9B-8C55-46F5-8B99-1D48452C403F}"/>
    <hyperlink ref="O73" r:id="rId144" xr:uid="{4F003A02-B33F-44E8-9831-8C9789C6463D}"/>
    <hyperlink ref="O56" r:id="rId145" xr:uid="{74DA720F-D9DB-4A27-909C-5375847B1CEA}"/>
    <hyperlink ref="O65" r:id="rId146" xr:uid="{46383CE5-913E-48CD-9031-6D56541D8477}"/>
    <hyperlink ref="O74" r:id="rId147" xr:uid="{5FFDE209-E1CB-41B3-9D9F-71B9BDBC96F4}"/>
    <hyperlink ref="O57" r:id="rId148" xr:uid="{7FD57B78-A732-4200-89E2-8413CAAD4095}"/>
    <hyperlink ref="O66" r:id="rId149" xr:uid="{396F495A-23D5-42A6-98AB-DD8A928870D7}"/>
    <hyperlink ref="O75" r:id="rId150" xr:uid="{FBC835A9-5D8E-4293-9FC7-F30888B86E1C}"/>
    <hyperlink ref="O58" r:id="rId151" xr:uid="{04E08AB0-7E7F-4FC0-A611-E532A13FE107}"/>
    <hyperlink ref="O67" r:id="rId152" xr:uid="{669C2D46-33FE-4CD3-9786-E23FD2DA1E63}"/>
    <hyperlink ref="O76" r:id="rId153" xr:uid="{E4DD73C6-191E-42AB-9AF2-5EBAB498FA2B}"/>
    <hyperlink ref="T6" r:id="rId154" xr:uid="{CA5824B4-E419-40DA-8D04-E29728F1F35A}"/>
    <hyperlink ref="T51" r:id="rId155" xr:uid="{EAB25D86-3918-4F6E-9920-D7A997B0F51D}"/>
    <hyperlink ref="T60" r:id="rId156" xr:uid="{9B5F6475-5840-44F3-998B-D8FA5038CD2B}"/>
    <hyperlink ref="T69" r:id="rId157" xr:uid="{63AE18E6-E3C4-4B66-B91D-E639B0D60DB4}"/>
    <hyperlink ref="T59" r:id="rId158" xr:uid="{A3E6601B-E514-408D-8365-422DDC2F95B6}"/>
    <hyperlink ref="T68" r:id="rId159" xr:uid="{6EE99A31-A216-4CE8-BC27-9FEEA83D85AB}"/>
    <hyperlink ref="T77" r:id="rId160" xr:uid="{DBA6FF96-8F58-48D5-B368-67CE6E9D9C9D}"/>
    <hyperlink ref="T52" r:id="rId161" xr:uid="{3ECE6B10-8D3D-44C0-8606-251A1482F3E4}"/>
    <hyperlink ref="T61" r:id="rId162" xr:uid="{B6810900-34FC-4FB1-AA5F-7A4DEA2173E7}"/>
    <hyperlink ref="T70" r:id="rId163" xr:uid="{3053628F-F4F4-4D8A-AB9C-0BC3A65FE077}"/>
    <hyperlink ref="T53" r:id="rId164" xr:uid="{EC549E87-87AF-42C7-8A5C-01AF3B2C3464}"/>
    <hyperlink ref="T62" r:id="rId165" xr:uid="{2E3A7CA2-36F8-40FA-A1B3-9D73FFB9774B}"/>
    <hyperlink ref="T71" r:id="rId166" xr:uid="{EEC6FDE3-80CA-449A-935B-8B1D09E06F14}"/>
    <hyperlink ref="T54" r:id="rId167" xr:uid="{0BE3B8AD-1B01-428F-AF89-1CCB267FE73C}"/>
    <hyperlink ref="T63" r:id="rId168" xr:uid="{46D4E386-1107-4B32-B311-EC5A1A37A294}"/>
    <hyperlink ref="T72" r:id="rId169" xr:uid="{761C9EEF-CC40-49CF-8E19-BBE526CFABA5}"/>
    <hyperlink ref="T55" r:id="rId170" xr:uid="{5AAE4759-D34F-430E-A2AE-E9CA2EB617FB}"/>
    <hyperlink ref="T64" r:id="rId171" xr:uid="{AF6C650E-F17A-45D4-B1DC-1D719EC5BB18}"/>
    <hyperlink ref="T73" r:id="rId172" xr:uid="{91696DCE-F338-45AC-B99C-4A364D4A358E}"/>
    <hyperlink ref="T56" r:id="rId173" xr:uid="{3E956938-9A37-4919-B5B3-6E115E6AE7CB}"/>
    <hyperlink ref="T65" r:id="rId174" xr:uid="{D0FB30BF-9776-43C2-8682-67B4905AE354}"/>
    <hyperlink ref="T74" r:id="rId175" xr:uid="{5963E4B8-03F8-46AB-82EF-DECDF6FF84A2}"/>
    <hyperlink ref="T57" r:id="rId176" xr:uid="{D0E6D891-F25F-46C7-BCA7-A5A27DC8F4A4}"/>
    <hyperlink ref="T66" r:id="rId177" xr:uid="{3CE51C41-A3D8-4FA1-8DFF-D6227DB6CE18}"/>
    <hyperlink ref="T75" r:id="rId178" xr:uid="{95417A7F-D61C-4E12-8873-303F767680D9}"/>
    <hyperlink ref="T58" r:id="rId179" xr:uid="{BC89B9CD-DD38-4A07-8DB2-D91ACB0A6ADC}"/>
    <hyperlink ref="T67" r:id="rId180" xr:uid="{F906482E-60B7-4E87-ABDF-15D420553624}"/>
    <hyperlink ref="T76" r:id="rId181" xr:uid="{701E5311-6831-447B-B58C-FE2589F83759}"/>
    <hyperlink ref="T9" r:id="rId182" xr:uid="{49D1A987-9523-4B94-89E2-63F8654C848B}"/>
    <hyperlink ref="T13" r:id="rId183" xr:uid="{9DF416C9-8B26-4985-824A-A750C0028A2F}"/>
    <hyperlink ref="T11" r:id="rId184" xr:uid="{449BC1C8-7516-4B47-9B9E-0184DBDED760}"/>
    <hyperlink ref="T7" r:id="rId185" xr:uid="{1C2CEA9E-BB15-40E8-921F-ED13599C3C0D}"/>
    <hyperlink ref="T12" r:id="rId186" xr:uid="{B6823C0F-D9AB-4969-B1AC-4B5EAADEFE35}"/>
    <hyperlink ref="T10" r:id="rId187" xr:uid="{52948E4B-9A55-4AE9-B72C-F66EC85AAFE6}"/>
    <hyperlink ref="T8" r:id="rId188" xr:uid="{919DB636-F105-4046-A465-5590C07ED185}"/>
    <hyperlink ref="T14" r:id="rId189" xr:uid="{BA8A68F9-ADAD-49F1-86C0-09237CA1B7B9}"/>
    <hyperlink ref="T23" r:id="rId190" xr:uid="{7D3F810D-4652-493F-9A89-2BA78F297297}"/>
    <hyperlink ref="T32" r:id="rId191" xr:uid="{ED2DA4CE-6B38-49E9-8DB4-9901097788CC}"/>
    <hyperlink ref="T15" r:id="rId192" xr:uid="{2726500A-3B0A-4AEA-BC21-3FD8C7BEC462}"/>
    <hyperlink ref="T24" r:id="rId193" xr:uid="{50BC9FF9-46CD-4BF5-89AC-55EE978A070B}"/>
    <hyperlink ref="T33" r:id="rId194" xr:uid="{9B77CB10-BAF9-4133-96E1-BF3D87FEC0E2}"/>
    <hyperlink ref="T18" r:id="rId195" xr:uid="{807EF5C6-962A-41A5-9888-F7959C58CE54}"/>
    <hyperlink ref="T27" r:id="rId196" xr:uid="{325EFD79-AD58-423C-B02B-3DAAE22FCDC0}"/>
    <hyperlink ref="T36" r:id="rId197" xr:uid="{1E6DC3B2-6527-4B32-A4E4-D1391FC73422}"/>
    <hyperlink ref="T22" r:id="rId198" xr:uid="{8D3667E9-7334-4D85-8924-B1E259E56687}"/>
    <hyperlink ref="T31" r:id="rId199" xr:uid="{A8E9A065-49B5-4AE2-8776-FCEB0ECD123F}"/>
    <hyperlink ref="T40" r:id="rId200" xr:uid="{8E52FFF5-BF6E-45FD-B2DB-281DAFA36148}"/>
    <hyperlink ref="T20" r:id="rId201" xr:uid="{5E36C8B7-2D6E-4B51-A6E8-259D5A624588}"/>
    <hyperlink ref="T29" r:id="rId202" xr:uid="{0C2B99DC-DF2F-4CA8-B4FE-FFBD8745BEFA}"/>
    <hyperlink ref="T38" r:id="rId203" xr:uid="{F47314AC-3FCA-4A9A-896B-485030CE131E}"/>
    <hyperlink ref="T16" r:id="rId204" xr:uid="{F3C53273-ACB8-47DF-8A30-67F2277F649F}"/>
    <hyperlink ref="T25" r:id="rId205" xr:uid="{B2E53668-F5E0-43B0-A9BD-55B5D05F029E}"/>
    <hyperlink ref="T34" r:id="rId206" xr:uid="{20D64C99-E5D8-4E3A-A9D3-047D030A563C}"/>
    <hyperlink ref="T21" r:id="rId207" xr:uid="{1A31732F-C6BE-443A-9521-77DE738BF9E7}"/>
    <hyperlink ref="T30" r:id="rId208" xr:uid="{A308DEB7-1342-4E4D-AD03-E225D0D47E89}"/>
    <hyperlink ref="T39" r:id="rId209" xr:uid="{102DC905-4F16-4E2F-A0EC-E6CEC71A1CC7}"/>
    <hyperlink ref="T19" r:id="rId210" xr:uid="{1BB4DAB9-2FAF-44E5-B04A-87BB2DCCD4FC}"/>
    <hyperlink ref="T28" r:id="rId211" xr:uid="{819E63DC-3E64-48CE-A47E-C12416E7459A}"/>
    <hyperlink ref="T37" r:id="rId212" xr:uid="{5066D101-E323-47CC-9FE1-12B797A23B28}"/>
    <hyperlink ref="T17" r:id="rId213" xr:uid="{D1A8151C-1DE0-44DC-89E1-940689520AB5}"/>
    <hyperlink ref="T26" r:id="rId214" xr:uid="{FB29CE91-94AF-4831-B5C3-89CAD7D9064D}"/>
    <hyperlink ref="T35" r:id="rId215" xr:uid="{B3D891E2-B414-48FF-891E-F1FF97810692}"/>
  </hyperlinks>
  <pageMargins left="0.7" right="0.7" top="0.75" bottom="0.75" header="0.3" footer="0.3"/>
  <pageSetup orientation="portrait" horizontalDpi="4294967295" verticalDpi="4294967295"/>
  <legacyDrawing r:id="rId216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000-000002000000}">
          <x14:formula1>
            <xm:f>Lists!$B$1:$B$2</xm:f>
          </x14:formula1>
          <xm:sqref>V4:V77 D4:D4997</xm:sqref>
        </x14:dataValidation>
        <x14:dataValidation type="list" allowBlank="1" xr:uid="{00000000-0002-0000-0000-000000000000}">
          <x14:formula1>
            <xm:f>Lists!$A$1:$A$2</xm:f>
          </x14:formula1>
          <xm:sqref>A4:A4997</xm:sqref>
        </x14:dataValidation>
        <x14:dataValidation type="list" allowBlank="1" xr:uid="{00000000-0002-0000-0000-000001000000}">
          <x14:formula1>
            <xm:f>Lists!$C$1:$C$5</xm:f>
          </x14:formula1>
          <xm:sqref>AG4:AG4997</xm:sqref>
        </x14:dataValidation>
        <x14:dataValidation type="list" allowBlank="1" xr:uid="{00000000-0002-0000-0000-000003000000}">
          <x14:formula1>
            <xm:f>Lists!$E$1:$E$4</xm:f>
          </x14:formula1>
          <xm:sqref>G4:G4997</xm:sqref>
        </x14:dataValidation>
        <x14:dataValidation type="list" allowBlank="1" xr:uid="{00000000-0002-0000-0000-000004000000}">
          <x14:formula1>
            <xm:f>Lists!$D$1:$D$1</xm:f>
          </x14:formula1>
          <xm:sqref>I4:I4997</xm:sqref>
        </x14:dataValidation>
        <x14:dataValidation type="list" allowBlank="1" xr:uid="{00000000-0002-0000-0000-000005000000}">
          <x14:formula1>
            <xm:f>Lists!$F$1:$F$2</xm:f>
          </x14:formula1>
          <xm:sqref>J4:J4997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27"/>
  <sheetViews>
    <sheetView workbookViewId="0"/>
  </sheetViews>
  <sheetFormatPr baseColWidth="10" defaultColWidth="88" defaultRowHeight="15" x14ac:dyDescent="0.25"/>
  <cols>
    <col min="1" max="1" width="4" customWidth="1"/>
    <col min="2" max="2" width="92" customWidth="1"/>
  </cols>
  <sheetData>
    <row r="1" spans="2:2" ht="15.95" customHeight="1" x14ac:dyDescent="0.25">
      <c r="B1" s="7" t="s">
        <v>242</v>
      </c>
    </row>
    <row r="2" spans="2:2" ht="15.95" customHeight="1" x14ac:dyDescent="0.25">
      <c r="B2" s="8" t="s">
        <v>230</v>
      </c>
    </row>
    <row r="3" spans="2:2" ht="15.95" customHeight="1" x14ac:dyDescent="0.25">
      <c r="B3" s="8" t="s">
        <v>243</v>
      </c>
    </row>
    <row r="4" spans="2:2" ht="15.95" customHeight="1" x14ac:dyDescent="0.25">
      <c r="B4" s="8" t="s">
        <v>230</v>
      </c>
    </row>
    <row r="5" spans="2:2" ht="15.95" customHeight="1" x14ac:dyDescent="0.25">
      <c r="B5" s="7" t="s">
        <v>244</v>
      </c>
    </row>
    <row r="6" spans="2:2" ht="15.95" customHeight="1" x14ac:dyDescent="0.25">
      <c r="B6" s="8" t="s">
        <v>245</v>
      </c>
    </row>
    <row r="7" spans="2:2" ht="15.95" customHeight="1" x14ac:dyDescent="0.25">
      <c r="B7" s="8" t="s">
        <v>246</v>
      </c>
    </row>
    <row r="8" spans="2:2" ht="15.95" customHeight="1" x14ac:dyDescent="0.25">
      <c r="B8" s="8" t="s">
        <v>230</v>
      </c>
    </row>
    <row r="9" spans="2:2" ht="15.95" customHeight="1" x14ac:dyDescent="0.25">
      <c r="B9" s="7" t="s">
        <v>247</v>
      </c>
    </row>
    <row r="10" spans="2:2" ht="15.95" customHeight="1" x14ac:dyDescent="0.25">
      <c r="B10" s="8" t="s">
        <v>248</v>
      </c>
    </row>
    <row r="11" spans="2:2" ht="15.95" customHeight="1" x14ac:dyDescent="0.25">
      <c r="B11" s="8" t="s">
        <v>249</v>
      </c>
    </row>
    <row r="12" spans="2:2" ht="15.95" customHeight="1" x14ac:dyDescent="0.25">
      <c r="B12" s="8" t="s">
        <v>250</v>
      </c>
    </row>
    <row r="13" spans="2:2" ht="15.95" customHeight="1" x14ac:dyDescent="0.25">
      <c r="B13" s="8" t="s">
        <v>251</v>
      </c>
    </row>
    <row r="14" spans="2:2" ht="15.95" customHeight="1" x14ac:dyDescent="0.25">
      <c r="B14" s="8" t="s">
        <v>230</v>
      </c>
    </row>
    <row r="15" spans="2:2" ht="15.95" customHeight="1" x14ac:dyDescent="0.25">
      <c r="B15" s="7" t="s">
        <v>252</v>
      </c>
    </row>
    <row r="16" spans="2:2" ht="15.95" customHeight="1" x14ac:dyDescent="0.25">
      <c r="B16" s="8" t="s">
        <v>253</v>
      </c>
    </row>
    <row r="17" spans="2:2" ht="15.95" customHeight="1" x14ac:dyDescent="0.25">
      <c r="B17" s="8" t="s">
        <v>254</v>
      </c>
    </row>
    <row r="18" spans="2:2" ht="15.95" customHeight="1" x14ac:dyDescent="0.25">
      <c r="B18" s="8" t="s">
        <v>230</v>
      </c>
    </row>
    <row r="19" spans="2:2" ht="15.95" customHeight="1" x14ac:dyDescent="0.25">
      <c r="B19" s="7" t="s">
        <v>255</v>
      </c>
    </row>
    <row r="20" spans="2:2" ht="15.95" customHeight="1" x14ac:dyDescent="0.25">
      <c r="B20" s="7" t="s">
        <v>256</v>
      </c>
    </row>
    <row r="21" spans="2:2" ht="15.95" customHeight="1" x14ac:dyDescent="0.25">
      <c r="B21" s="7" t="s">
        <v>257</v>
      </c>
    </row>
    <row r="22" spans="2:2" ht="15.95" customHeight="1" x14ac:dyDescent="0.25">
      <c r="B22" s="8" t="s">
        <v>258</v>
      </c>
    </row>
    <row r="23" spans="2:2" ht="15.95" customHeight="1" x14ac:dyDescent="0.25">
      <c r="B23" s="8" t="s">
        <v>259</v>
      </c>
    </row>
    <row r="24" spans="2:2" ht="15.95" customHeight="1" x14ac:dyDescent="0.25">
      <c r="B24" s="8" t="s">
        <v>260</v>
      </c>
    </row>
    <row r="25" spans="2:2" ht="15.95" customHeight="1" x14ac:dyDescent="0.25">
      <c r="B25" s="8" t="s">
        <v>261</v>
      </c>
    </row>
    <row r="26" spans="2:2" ht="15.95" customHeight="1" x14ac:dyDescent="0.25">
      <c r="B26" s="8" t="s">
        <v>262</v>
      </c>
    </row>
    <row r="27" spans="2:2" ht="15.95" customHeight="1" x14ac:dyDescent="0.25">
      <c r="B27" s="8" t="s">
        <v>263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baseColWidth="10" defaultColWidth="9.140625" defaultRowHeight="15" x14ac:dyDescent="0.25"/>
  <cols>
    <col min="1" max="1" width="14" customWidth="1"/>
    <col min="2" max="2" width="12" customWidth="1"/>
    <col min="3" max="3" width="10" customWidth="1"/>
    <col min="4" max="4" width="28" customWidth="1"/>
    <col min="5" max="5" width="22" customWidth="1"/>
    <col min="6" max="6" width="26" customWidth="1"/>
  </cols>
  <sheetData>
    <row r="1" spans="1:6" x14ac:dyDescent="0.25">
      <c r="A1" t="s">
        <v>227</v>
      </c>
      <c r="B1" t="s">
        <v>264</v>
      </c>
      <c r="C1" t="s">
        <v>265</v>
      </c>
      <c r="D1" t="s">
        <v>232</v>
      </c>
      <c r="E1" t="s">
        <v>231</v>
      </c>
      <c r="F1" t="s">
        <v>233</v>
      </c>
    </row>
    <row r="2" spans="1:6" x14ac:dyDescent="0.25">
      <c r="A2" t="s">
        <v>236</v>
      </c>
      <c r="B2" t="s">
        <v>228</v>
      </c>
      <c r="C2" t="s">
        <v>266</v>
      </c>
      <c r="E2" t="s">
        <v>267</v>
      </c>
      <c r="F2" t="s">
        <v>268</v>
      </c>
    </row>
    <row r="3" spans="1:6" x14ac:dyDescent="0.25">
      <c r="C3" t="s">
        <v>269</v>
      </c>
      <c r="E3" t="s">
        <v>270</v>
      </c>
    </row>
    <row r="4" spans="1:6" x14ac:dyDescent="0.25">
      <c r="C4" t="s">
        <v>271</v>
      </c>
      <c r="E4" t="s">
        <v>272</v>
      </c>
    </row>
    <row r="5" spans="1:6" x14ac:dyDescent="0.25">
      <c r="C5" t="s">
        <v>273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Products</vt:lpstr>
      <vt:lpstr>📋 Anleitung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2026-04-07T12:21:32Z</dcterms:created>
  <dcterms:modified xsi:type="dcterms:W3CDTF">2026-04-07T13:33:07Z</dcterms:modified>
  <cp:category/>
</cp:coreProperties>
</file>